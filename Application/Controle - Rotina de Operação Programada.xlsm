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uro Cerqueira\Desktop\Controle_de_inspecoes_periodicas-main\Application\"/>
    </mc:Choice>
  </mc:AlternateContent>
  <xr:revisionPtr revIDLastSave="0" documentId="13_ncr:1_{7D5BC9A2-A931-47B4-B375-A7E8D8E40855}" xr6:coauthVersionLast="47" xr6:coauthVersionMax="47" xr10:uidLastSave="{00000000-0000-0000-0000-000000000000}"/>
  <bookViews>
    <workbookView xWindow="-120" yWindow="-120" windowWidth="20730" windowHeight="10830" xr2:uid="{00000000-000D-0000-FFFF-FFFF00000000}"/>
  </bookViews>
  <sheets>
    <sheet name="Calendario de inspeção 2023" sheetId="5" r:id="rId1"/>
    <sheet name="Relatorio ROP" sheetId="8" r:id="rId2"/>
    <sheet name="5 dias" sheetId="10" state="veryHidden" r:id="rId3"/>
    <sheet name="Quinzenal" sheetId="11" state="veryHidden" r:id="rId4"/>
    <sheet name="Mensal" sheetId="13" state="veryHidden" r:id="rId5"/>
  </sheets>
  <externalReferences>
    <externalReference r:id="rId6"/>
  </externalReferences>
  <definedNames>
    <definedName name="DiasCategorias">#REF!</definedName>
    <definedName name="FechaInicio">'Calendario de inspeção 2023'!$B$1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3" l="1"/>
  <c r="A3" i="13"/>
  <c r="A4" i="11"/>
  <c r="A3" i="11"/>
  <c r="A4" i="10"/>
  <c r="A3" i="10"/>
</calcChain>
</file>

<file path=xl/sharedStrings.xml><?xml version="1.0" encoding="utf-8"?>
<sst xmlns="http://schemas.openxmlformats.org/spreadsheetml/2006/main" count="273" uniqueCount="131">
  <si>
    <t>Feriado</t>
  </si>
  <si>
    <t>Seg</t>
  </si>
  <si>
    <t>Ter</t>
  </si>
  <si>
    <t>Qua</t>
  </si>
  <si>
    <t>Qui</t>
  </si>
  <si>
    <t>Sex</t>
  </si>
  <si>
    <t>Sab</t>
  </si>
  <si>
    <t>Dom</t>
  </si>
  <si>
    <t xml:space="preserve">Inspeção Mensal </t>
  </si>
  <si>
    <t xml:space="preserve">Legenda </t>
  </si>
  <si>
    <t xml:space="preserve">Inspeção Quinzenal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</si>
  <si>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</si>
  <si>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</si>
  <si>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</si>
  <si>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</si>
  <si>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</si>
  <si>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</si>
  <si>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</si>
  <si>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</si>
  <si>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</si>
  <si>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</si>
  <si>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</si>
  <si>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</si>
  <si>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Inspeção inicial</t>
  </si>
  <si>
    <t xml:space="preserve">Inspeções Mensais </t>
  </si>
  <si>
    <t>Em atraso</t>
  </si>
  <si>
    <t>Trava quedas popa BB</t>
  </si>
  <si>
    <t>Trava quedas popa BE</t>
  </si>
  <si>
    <t>Trava quedas proa BB</t>
  </si>
  <si>
    <t>Trava quedas proa BE</t>
  </si>
  <si>
    <t>Deck 4</t>
  </si>
  <si>
    <t>Placa de sinalização e isolamento</t>
  </si>
  <si>
    <t>Cintas, manilhas e Master link’s</t>
  </si>
  <si>
    <t>EPC- Cintos de trabalho e altura / coletes salva vidas</t>
  </si>
  <si>
    <t>Verificação de material de projeto para instalação nos dutos</t>
  </si>
  <si>
    <t>Guincho #1</t>
  </si>
  <si>
    <t>Guincho #2</t>
  </si>
  <si>
    <t>Guincho #3</t>
  </si>
  <si>
    <t>Guincho #4</t>
  </si>
  <si>
    <t>Guincho #5</t>
  </si>
  <si>
    <t>Guincho #6</t>
  </si>
  <si>
    <t>Guincho #7</t>
  </si>
  <si>
    <t>Guincho #8</t>
  </si>
  <si>
    <t>Guincho #9</t>
  </si>
  <si>
    <t>Guincho #10</t>
  </si>
  <si>
    <t xml:space="preserve">Cesta de vante </t>
  </si>
  <si>
    <t>Cesta de ré</t>
  </si>
  <si>
    <t>Material solto na mesa de trabalho.</t>
  </si>
  <si>
    <t>Material solto na área de carga de BB (ao lado da da torre)</t>
  </si>
  <si>
    <t>Estaimaento dos cabos dos guinchos 
#5 e #2 no olhal da torre</t>
  </si>
  <si>
    <t>Estaimento dos cabos dos guinchos 
#1 e #6 nos olhais dedicados a ré da torre</t>
  </si>
  <si>
    <t>Inspeção visual e teste funcional</t>
  </si>
  <si>
    <t>Estaiamento e organização</t>
  </si>
  <si>
    <t>Instalação ou remoção(caso aplicável)</t>
  </si>
  <si>
    <t>Inspeção visual e organização</t>
  </si>
  <si>
    <t>Inspeção visual</t>
  </si>
  <si>
    <t xml:space="preserve">Inspeção visual e conferência </t>
  </si>
  <si>
    <t>Inspeção visual e remoção(caso aplicável)</t>
  </si>
  <si>
    <t>Elaborador:</t>
  </si>
  <si>
    <t>Assinatura:</t>
  </si>
  <si>
    <t>Objeto de Inspeção</t>
  </si>
  <si>
    <t>Ação</t>
  </si>
  <si>
    <t>Verificado</t>
  </si>
  <si>
    <t>Obs</t>
  </si>
  <si>
    <t>Olhal rotativo mesa BB popa</t>
  </si>
  <si>
    <t>Inspeção visual e lubrificação</t>
  </si>
  <si>
    <t>Olhal rotativo mesa BE popa</t>
  </si>
  <si>
    <t>Olhal rotativo mesa meio popa</t>
  </si>
  <si>
    <t>Olhal rotativo mesa BB proa</t>
  </si>
  <si>
    <t>Olhal rotativo mesa BE proa</t>
  </si>
  <si>
    <t>Olhal rotativo a vante do guincho #2</t>
  </si>
  <si>
    <t>Patesca guincho #7</t>
  </si>
  <si>
    <t>Patesca guincho #5</t>
  </si>
  <si>
    <t>Patesca mesa de trabalho</t>
  </si>
  <si>
    <t>Patesca guincho #8</t>
  </si>
  <si>
    <t>Patesca calha de popa BB</t>
  </si>
  <si>
    <t>Patesca calha de popa BE</t>
  </si>
  <si>
    <t>Parafusos e furação do Hangoff</t>
  </si>
  <si>
    <t>Talha do A&amp;R de 600t</t>
  </si>
  <si>
    <t>Inspeção visual e teste funcional 
(preencher o volume do engate rápido com óleo
 lubrificante e verificar o nível do óleo do Lubfuel)</t>
  </si>
  <si>
    <t>Talha do A&amp;R de 200t</t>
  </si>
  <si>
    <t>Inspeção visual e teste funcional 
(preencher o volume do engate rápido com óleo 
lubrificante e verificar o nível do óleo do Lubfuel)</t>
  </si>
  <si>
    <t>Ferramenta Pneumática para fita Bandit</t>
  </si>
  <si>
    <t>Parafusadeira Mclaren (grande)</t>
  </si>
  <si>
    <t>Parafusadeira Mclaren (media)</t>
  </si>
  <si>
    <t>Parafusadeira (pequena - 2 unidades)</t>
  </si>
  <si>
    <t xml:space="preserve">Bomba pneumática "sapo" </t>
  </si>
  <si>
    <t>Lixadeira pneumática.</t>
  </si>
  <si>
    <t>Lixadeira elétrica.</t>
  </si>
  <si>
    <t>Agulheiro Pneumático</t>
  </si>
  <si>
    <t>Mesa inspeção MCV</t>
  </si>
  <si>
    <t>Calhas de Carregamento e Roletes</t>
  </si>
  <si>
    <t>Lubrificação das Catracas ( caixas de Sapastas Torre)</t>
  </si>
  <si>
    <t>Insertos e placas Hangoff</t>
  </si>
  <si>
    <t>Guincho #11 (guincho pneumático Popeye)</t>
  </si>
  <si>
    <t>Guincho #12 (guincho pneumático Popeye)</t>
  </si>
  <si>
    <t>Roscas de manilhas</t>
  </si>
  <si>
    <t>Manilhas Hidraulicas</t>
  </si>
  <si>
    <t>Cabo de aço</t>
  </si>
  <si>
    <t>Bandeija coletora de residuos (Banheira do GUGU )</t>
  </si>
  <si>
    <t>Bomba Sapo</t>
  </si>
  <si>
    <t>Refresh de utilização dos guinchos.</t>
  </si>
  <si>
    <r>
      <t xml:space="preserve">Safety Hook - MAR HK 075 </t>
    </r>
    <r>
      <rPr>
        <b/>
        <sz val="10"/>
        <color theme="1"/>
        <rFont val="Arial"/>
        <family val="2"/>
      </rPr>
      <t>/</t>
    </r>
    <r>
      <rPr>
        <sz val="10"/>
        <color theme="1"/>
        <rFont val="Arial"/>
        <family val="2"/>
      </rPr>
      <t>CRU HK 010</t>
    </r>
    <r>
      <rPr>
        <b/>
        <sz val="10"/>
        <color theme="1"/>
        <rFont val="Arial"/>
        <family val="2"/>
      </rPr>
      <t xml:space="preserve"> / </t>
    </r>
    <r>
      <rPr>
        <sz val="10"/>
        <color theme="1"/>
        <rFont val="Arial"/>
        <family val="2"/>
      </rPr>
      <t>CRU HK 011</t>
    </r>
    <r>
      <rPr>
        <b/>
        <sz val="10"/>
        <color theme="1"/>
        <rFont val="Arial"/>
        <family val="2"/>
      </rPr>
      <t>/</t>
    </r>
    <r>
      <rPr>
        <sz val="10"/>
        <color theme="1"/>
        <rFont val="Arial"/>
        <family val="2"/>
      </rPr>
      <t>CRU HK 016</t>
    </r>
    <r>
      <rPr>
        <b/>
        <sz val="10"/>
        <color theme="1"/>
        <rFont val="Arial"/>
        <family val="2"/>
      </rPr>
      <t xml:space="preserve"> / </t>
    </r>
    <r>
      <rPr>
        <sz val="10"/>
        <color theme="1"/>
        <rFont val="Arial"/>
        <family val="2"/>
      </rPr>
      <t xml:space="preserve">CRU HK 053 </t>
    </r>
    <r>
      <rPr>
        <b/>
        <sz val="10"/>
        <color theme="1"/>
        <rFont val="Arial"/>
        <family val="2"/>
      </rPr>
      <t xml:space="preserve">/ </t>
    </r>
    <r>
      <rPr>
        <sz val="10"/>
        <color theme="1"/>
        <rFont val="Arial"/>
        <family val="2"/>
      </rPr>
      <t>CRU 055</t>
    </r>
  </si>
  <si>
    <t xml:space="preserve">Insertos e placas Hangoff parafusos </t>
  </si>
  <si>
    <t>Lança Retinida</t>
  </si>
  <si>
    <t>Conjunto completo do Hangoff ( Tulipa)</t>
  </si>
  <si>
    <t>Lubrificação</t>
  </si>
  <si>
    <t>Inspeção visual e teste funcional / 
Lubrificação da base</t>
  </si>
  <si>
    <t>Inspeção visual e reparo, caso aplicável</t>
  </si>
  <si>
    <t xml:space="preserve">Treinamento </t>
  </si>
  <si>
    <t>Checar Parâmetros de inspeção de segurança 
ganchos  (Safety hook) conforme tabela.</t>
  </si>
  <si>
    <t xml:space="preserve">Conferir quantidade /
Integridade das roscas </t>
  </si>
  <si>
    <t>Teste funcional</t>
  </si>
  <si>
    <t>Inspeção visual nas roscas dos parafusos
Limpeza dos furos</t>
  </si>
  <si>
    <t>inspeção a cada 5 Dias</t>
  </si>
  <si>
    <t>Inspeção 5 Dias +Mensal</t>
  </si>
  <si>
    <t xml:space="preserve">Inspeção 5Dias + Quinzenal </t>
  </si>
  <si>
    <t>Inspeção 5 Dias+ Quinzenal+ Mensal</t>
  </si>
  <si>
    <t>Data de realização</t>
  </si>
  <si>
    <t>Responsável</t>
  </si>
  <si>
    <t xml:space="preserve">Inspeção 5 dias </t>
  </si>
  <si>
    <t xml:space="preserve">Inspeções Quinzenais </t>
  </si>
  <si>
    <t>Comentários</t>
  </si>
  <si>
    <t>Cargo: Suoervisor de Convés</t>
  </si>
  <si>
    <t>Data:</t>
  </si>
  <si>
    <t>Cargo:  Suoervisor de Convés</t>
  </si>
  <si>
    <t>s</t>
  </si>
  <si>
    <t>Não</t>
  </si>
  <si>
    <t xml:space="preserve">Elaborador: </t>
  </si>
  <si>
    <t xml:space="preserve">Data: 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</si>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</sst>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"/>
    <numFmt numFmtId="165" formatCode="mmmm"/>
    <numFmt numFmtId="166" formatCode="[$-416]d\-mmm;@"/>
    <numFmt numFmtId="167" formatCode="d"/>
  </numFmts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22"/>
      <name val="Calibri"/>
      <family val="2"/>
      <scheme val="minor"/>
    </font>
    <font>
      <sz val="36"/>
      <color indexed="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name val="Calibri"/>
      <family val="2"/>
      <scheme val="minor"/>
    </font>
    <font>
      <sz val="8"/>
      <color indexed="2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Verdana"/>
      <family val="2"/>
    </font>
    <font>
      <sz val="8"/>
      <color theme="1"/>
      <name val="Arial"/>
      <family val="2"/>
    </font>
    <font>
      <sz val="8"/>
      <color theme="0"/>
      <name val="Verdana"/>
      <family val="2"/>
    </font>
    <font>
      <sz val="6"/>
      <color theme="0"/>
      <name val="Verdana"/>
      <family val="2"/>
    </font>
    <font>
      <b/>
      <sz val="8"/>
      <color rgb="FF000000"/>
      <name val="Calibri"/>
      <family val="2"/>
      <scheme val="minor"/>
    </font>
    <font>
      <b/>
      <sz val="8"/>
      <name val="Calibri"/>
      <family val="2"/>
    </font>
    <font>
      <b/>
      <sz val="8"/>
      <color theme="0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</font>
    <font>
      <sz val="48"/>
      <color theme="0"/>
      <name val="Calibri"/>
      <family val="2"/>
      <scheme val="minor"/>
    </font>
    <font>
      <u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92D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1">
    <xf numFmtId="0" fontId="0" fillId="0" borderId="0" xfId="0"/>
    <xf numFmtId="0" fontId="9" fillId="0" borderId="0" xfId="0" applyFont="1"/>
    <xf numFmtId="14" fontId="9" fillId="0" borderId="1" xfId="0" applyNumberFormat="1" applyFont="1" applyBorder="1" applyProtection="1"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5" fillId="0" borderId="1" xfId="0" applyFont="1" applyBorder="1"/>
    <xf numFmtId="0" fontId="15" fillId="3" borderId="1" xfId="0" applyFont="1" applyFill="1" applyBorder="1"/>
    <xf numFmtId="0" fontId="15" fillId="3" borderId="1" xfId="0" applyFont="1" applyFill="1" applyBorder="1" applyAlignment="1">
      <alignment vertical="center"/>
    </xf>
    <xf numFmtId="0" fontId="15" fillId="0" borderId="1" xfId="0" applyFont="1" applyBorder="1" applyAlignment="1">
      <alignment wrapText="1"/>
    </xf>
    <xf numFmtId="0" fontId="20" fillId="0" borderId="11" xfId="0" applyFont="1" applyBorder="1" applyAlignment="1">
      <alignment vertical="center" wrapText="1"/>
    </xf>
    <xf numFmtId="0" fontId="0" fillId="0" borderId="1" xfId="0" applyBorder="1"/>
    <xf numFmtId="0" fontId="23" fillId="0" borderId="1" xfId="0" applyFont="1" applyBorder="1"/>
    <xf numFmtId="0" fontId="23" fillId="3" borderId="1" xfId="0" applyFont="1" applyFill="1" applyBorder="1"/>
    <xf numFmtId="0" fontId="23" fillId="3" borderId="1" xfId="0" applyFont="1" applyFill="1" applyBorder="1" applyAlignment="1">
      <alignment vertical="center"/>
    </xf>
    <xf numFmtId="0" fontId="23" fillId="0" borderId="1" xfId="0" applyFont="1" applyBorder="1" applyAlignment="1">
      <alignment wrapText="1"/>
    </xf>
    <xf numFmtId="0" fontId="24" fillId="0" borderId="1" xfId="0" applyFont="1" applyBorder="1"/>
    <xf numFmtId="0" fontId="24" fillId="0" borderId="0" xfId="0" applyFont="1"/>
    <xf numFmtId="0" fontId="24" fillId="0" borderId="1" xfId="0" applyFont="1" applyBorder="1" applyAlignment="1">
      <alignment vertical="center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vertical="center" wrapText="1"/>
    </xf>
    <xf numFmtId="0" fontId="9" fillId="0" borderId="0" xfId="0" applyFont="1" applyProtection="1">
      <protection locked="0"/>
    </xf>
    <xf numFmtId="0" fontId="14" fillId="0" borderId="1" xfId="0" applyFont="1" applyBorder="1" applyAlignment="1" applyProtection="1">
      <alignment horizontal="center"/>
      <protection locked="0"/>
    </xf>
    <xf numFmtId="14" fontId="0" fillId="0" borderId="0" xfId="0" applyNumberFormat="1"/>
    <xf numFmtId="0" fontId="14" fillId="0" borderId="0" xfId="0" applyFont="1" applyAlignment="1" applyProtection="1">
      <alignment horizontal="center"/>
      <protection locked="0"/>
    </xf>
    <xf numFmtId="0" fontId="14" fillId="0" borderId="0" xfId="0" applyFont="1" applyProtection="1">
      <protection locked="0"/>
    </xf>
    <xf numFmtId="0" fontId="0" fillId="0" borderId="1" xfId="0" applyBorder="1" applyAlignment="1">
      <alignment horizontal="center"/>
    </xf>
    <xf numFmtId="0" fontId="0" fillId="13" borderId="0" xfId="0" applyFill="1" applyProtection="1">
      <protection locked="0"/>
    </xf>
    <xf numFmtId="167" fontId="11" fillId="13" borderId="0" xfId="0" applyNumberFormat="1" applyFont="1" applyFill="1" applyAlignment="1" applyProtection="1">
      <alignment horizontal="center" vertical="center"/>
      <protection locked="0"/>
    </xf>
    <xf numFmtId="167" fontId="10" fillId="13" borderId="0" xfId="0" applyNumberFormat="1" applyFont="1" applyFill="1" applyAlignment="1" applyProtection="1">
      <alignment horizontal="center" vertical="center"/>
      <protection locked="0"/>
    </xf>
    <xf numFmtId="0" fontId="11" fillId="13" borderId="0" xfId="0" applyFont="1" applyFill="1" applyAlignment="1" applyProtection="1">
      <alignment horizontal="center" vertical="center"/>
      <protection locked="0"/>
    </xf>
    <xf numFmtId="165" fontId="2" fillId="13" borderId="0" xfId="0" applyNumberFormat="1" applyFont="1" applyFill="1" applyAlignment="1" applyProtection="1">
      <alignment horizontal="center" vertical="center"/>
      <protection locked="0"/>
    </xf>
    <xf numFmtId="0" fontId="7" fillId="13" borderId="0" xfId="0" applyFont="1" applyFill="1" applyAlignment="1" applyProtection="1">
      <alignment horizontal="center" vertical="center"/>
      <protection locked="0"/>
    </xf>
    <xf numFmtId="0" fontId="24" fillId="0" borderId="11" xfId="0" applyFont="1" applyBorder="1"/>
    <xf numFmtId="0" fontId="24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0" fontId="23" fillId="0" borderId="11" xfId="0" applyFont="1" applyBorder="1"/>
    <xf numFmtId="0" fontId="0" fillId="0" borderId="1" xfId="0" applyBorder="1" applyAlignment="1">
      <alignment horizontal="center" vertical="center"/>
    </xf>
    <xf numFmtId="0" fontId="15" fillId="0" borderId="11" xfId="0" applyFont="1" applyBorder="1"/>
    <xf numFmtId="0" fontId="0" fillId="0" borderId="12" xfId="0" applyBorder="1" applyAlignment="1">
      <alignment wrapText="1"/>
    </xf>
    <xf numFmtId="0" fontId="0" fillId="0" borderId="1" xfId="0" applyBorder="1" applyAlignment="1">
      <alignment horizontal="center" vertical="top"/>
    </xf>
    <xf numFmtId="0" fontId="0" fillId="0" borderId="19" xfId="0" applyBorder="1" applyAlignment="1">
      <alignment horizontal="center" vertical="top" wrapText="1"/>
    </xf>
    <xf numFmtId="0" fontId="0" fillId="0" borderId="20" xfId="0" applyBorder="1" applyAlignment="1">
      <alignment horizontal="center" vertical="top" wrapText="1"/>
    </xf>
    <xf numFmtId="0" fontId="0" fillId="0" borderId="22" xfId="0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0" fillId="13" borderId="3" xfId="0" applyFill="1" applyBorder="1" applyProtection="1">
      <protection locked="0"/>
    </xf>
    <xf numFmtId="14" fontId="14" fillId="0" borderId="1" xfId="0" applyNumberFormat="1" applyFont="1" applyBorder="1" applyAlignment="1">
      <alignment horizontal="center"/>
    </xf>
    <xf numFmtId="14" fontId="14" fillId="0" borderId="1" xfId="0" applyNumberFormat="1" applyFont="1" applyBorder="1" applyAlignment="1" applyProtection="1">
      <alignment horizontal="center"/>
      <protection locked="0"/>
    </xf>
    <xf numFmtId="0" fontId="14" fillId="0" borderId="0" xfId="0" applyFont="1"/>
    <xf numFmtId="0" fontId="16" fillId="15" borderId="4" xfId="0" applyFont="1" applyFill="1" applyBorder="1" applyAlignment="1">
      <alignment vertical="center" wrapText="1"/>
    </xf>
    <xf numFmtId="0" fontId="16" fillId="15" borderId="5" xfId="0" applyFont="1" applyFill="1" applyBorder="1" applyAlignment="1">
      <alignment vertical="center" wrapText="1"/>
    </xf>
    <xf numFmtId="0" fontId="16" fillId="15" borderId="7" xfId="0" applyFont="1" applyFill="1" applyBorder="1" applyAlignment="1">
      <alignment vertical="center" wrapText="1"/>
    </xf>
    <xf numFmtId="0" fontId="16" fillId="15" borderId="0" xfId="0" applyFont="1" applyFill="1" applyAlignment="1">
      <alignment vertical="center" wrapText="1"/>
    </xf>
    <xf numFmtId="14" fontId="18" fillId="15" borderId="7" xfId="0" applyNumberFormat="1" applyFont="1" applyFill="1" applyBorder="1" applyAlignment="1">
      <alignment horizontal="left" vertical="center" wrapText="1"/>
    </xf>
    <xf numFmtId="14" fontId="19" fillId="15" borderId="0" xfId="0" applyNumberFormat="1" applyFont="1" applyFill="1" applyAlignment="1">
      <alignment horizontal="left" vertical="center" wrapText="1"/>
    </xf>
    <xf numFmtId="14" fontId="18" fillId="15" borderId="13" xfId="0" applyNumberFormat="1" applyFont="1" applyFill="1" applyBorder="1" applyAlignment="1">
      <alignment vertical="center" wrapText="1"/>
    </xf>
    <xf numFmtId="14" fontId="19" fillId="15" borderId="3" xfId="0" applyNumberFormat="1" applyFont="1" applyFill="1" applyBorder="1" applyAlignment="1">
      <alignment vertical="center" wrapText="1"/>
    </xf>
    <xf numFmtId="14" fontId="22" fillId="15" borderId="18" xfId="0" applyNumberFormat="1" applyFont="1" applyFill="1" applyBorder="1" applyAlignment="1">
      <alignment horizontal="center" vertical="center" wrapText="1"/>
    </xf>
    <xf numFmtId="14" fontId="22" fillId="15" borderId="1" xfId="0" applyNumberFormat="1" applyFont="1" applyFill="1" applyBorder="1" applyAlignment="1">
      <alignment horizontal="center" vertical="center" wrapText="1"/>
    </xf>
    <xf numFmtId="14" fontId="22" fillId="15" borderId="3" xfId="0" applyNumberFormat="1" applyFont="1" applyFill="1" applyBorder="1" applyAlignment="1">
      <alignment horizontal="center" vertical="center" wrapText="1"/>
    </xf>
    <xf numFmtId="0" fontId="13" fillId="15" borderId="1" xfId="0" applyFont="1" applyFill="1" applyBorder="1" applyProtection="1">
      <protection locked="0"/>
    </xf>
    <xf numFmtId="0" fontId="3" fillId="13" borderId="0" xfId="0" applyFont="1" applyFill="1" applyAlignment="1">
      <alignment horizontal="center" vertical="center"/>
    </xf>
    <xf numFmtId="0" fontId="5" fillId="13" borderId="0" xfId="0" applyFont="1" applyFill="1"/>
    <xf numFmtId="0" fontId="5" fillId="13" borderId="0" xfId="0" applyFont="1" applyFill="1" applyAlignment="1">
      <alignment horizontal="left"/>
    </xf>
    <xf numFmtId="0" fontId="3" fillId="13" borderId="0" xfId="0" applyFont="1" applyFill="1"/>
    <xf numFmtId="0" fontId="7" fillId="15" borderId="7" xfId="0" applyFont="1" applyFill="1" applyBorder="1" applyAlignment="1">
      <alignment vertical="center"/>
    </xf>
    <xf numFmtId="0" fontId="7" fillId="15" borderId="0" xfId="0" applyFont="1" applyFill="1" applyAlignment="1">
      <alignment vertical="center"/>
    </xf>
    <xf numFmtId="0" fontId="7" fillId="15" borderId="2" xfId="0" applyFont="1" applyFill="1" applyBorder="1" applyAlignment="1">
      <alignment vertical="center"/>
    </xf>
    <xf numFmtId="0" fontId="7" fillId="15" borderId="7" xfId="0" applyFont="1" applyFill="1" applyBorder="1" applyAlignment="1">
      <alignment horizontal="center" vertical="center"/>
    </xf>
    <xf numFmtId="0" fontId="7" fillId="15" borderId="0" xfId="0" applyFont="1" applyFill="1" applyAlignment="1">
      <alignment horizontal="center" vertical="center"/>
    </xf>
    <xf numFmtId="0" fontId="7" fillId="15" borderId="2" xfId="0" applyFont="1" applyFill="1" applyBorder="1" applyAlignment="1">
      <alignment horizontal="center" vertical="center"/>
    </xf>
    <xf numFmtId="167" fontId="10" fillId="3" borderId="1" xfId="0" applyNumberFormat="1" applyFont="1" applyFill="1" applyBorder="1" applyAlignment="1">
      <alignment horizontal="center" vertical="center"/>
    </xf>
    <xf numFmtId="167" fontId="11" fillId="3" borderId="1" xfId="0" applyNumberFormat="1" applyFont="1" applyFill="1" applyBorder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167" fontId="11" fillId="7" borderId="1" xfId="0" applyNumberFormat="1" applyFont="1" applyFill="1" applyBorder="1" applyAlignment="1">
      <alignment horizontal="center" vertical="center"/>
    </xf>
    <xf numFmtId="167" fontId="11" fillId="8" borderId="1" xfId="0" applyNumberFormat="1" applyFont="1" applyFill="1" applyBorder="1" applyAlignment="1">
      <alignment horizontal="center" vertical="center"/>
    </xf>
    <xf numFmtId="167" fontId="11" fillId="11" borderId="1" xfId="0" applyNumberFormat="1" applyFont="1" applyFill="1" applyBorder="1" applyAlignment="1">
      <alignment horizontal="center" vertical="center"/>
    </xf>
    <xf numFmtId="164" fontId="4" fillId="13" borderId="0" xfId="0" applyNumberFormat="1" applyFont="1" applyFill="1" applyAlignment="1">
      <alignment horizontal="center"/>
    </xf>
    <xf numFmtId="165" fontId="2" fillId="13" borderId="0" xfId="0" applyNumberFormat="1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9" fillId="0" borderId="1" xfId="0" applyFont="1" applyBorder="1"/>
    <xf numFmtId="167" fontId="11" fillId="13" borderId="0" xfId="0" applyNumberFormat="1" applyFont="1" applyFill="1" applyAlignment="1">
      <alignment horizontal="center" vertical="center"/>
    </xf>
    <xf numFmtId="166" fontId="8" fillId="2" borderId="8" xfId="0" applyNumberFormat="1" applyFont="1" applyFill="1" applyBorder="1" applyAlignment="1">
      <alignment horizontal="center" vertical="center"/>
    </xf>
    <xf numFmtId="0" fontId="9" fillId="0" borderId="2" xfId="0" applyFont="1" applyBorder="1"/>
    <xf numFmtId="166" fontId="8" fillId="5" borderId="8" xfId="0" applyNumberFormat="1" applyFont="1" applyFill="1" applyBorder="1" applyAlignment="1">
      <alignment horizontal="center" vertical="center"/>
    </xf>
    <xf numFmtId="166" fontId="8" fillId="6" borderId="8" xfId="0" applyNumberFormat="1" applyFont="1" applyFill="1" applyBorder="1" applyAlignment="1">
      <alignment horizontal="center" vertical="center"/>
    </xf>
    <xf numFmtId="167" fontId="10" fillId="13" borderId="0" xfId="0" applyNumberFormat="1" applyFont="1" applyFill="1" applyAlignment="1">
      <alignment horizontal="center" vertical="center"/>
    </xf>
    <xf numFmtId="166" fontId="8" fillId="9" borderId="8" xfId="0" applyNumberFormat="1" applyFont="1" applyFill="1" applyBorder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166" fontId="8" fillId="8" borderId="8" xfId="0" applyNumberFormat="1" applyFont="1" applyFill="1" applyBorder="1" applyAlignment="1">
      <alignment horizontal="center" vertical="center"/>
    </xf>
    <xf numFmtId="166" fontId="8" fillId="10" borderId="8" xfId="0" applyNumberFormat="1" applyFont="1" applyFill="1" applyBorder="1" applyAlignment="1">
      <alignment horizontal="center" vertical="center"/>
    </xf>
    <xf numFmtId="166" fontId="8" fillId="2" borderId="9" xfId="0" applyNumberFormat="1" applyFont="1" applyFill="1" applyBorder="1" applyAlignment="1">
      <alignment horizontal="center" vertical="center"/>
    </xf>
    <xf numFmtId="0" fontId="9" fillId="0" borderId="10" xfId="0" applyFont="1" applyBorder="1"/>
    <xf numFmtId="165" fontId="2" fillId="15" borderId="4" xfId="0" applyNumberFormat="1" applyFont="1" applyFill="1" applyBorder="1" applyAlignment="1">
      <alignment horizontal="center" vertical="center"/>
    </xf>
    <xf numFmtId="165" fontId="2" fillId="15" borderId="5" xfId="0" applyNumberFormat="1" applyFont="1" applyFill="1" applyBorder="1" applyAlignment="1">
      <alignment horizontal="center" vertical="center"/>
    </xf>
    <xf numFmtId="165" fontId="2" fillId="15" borderId="6" xfId="0" applyNumberFormat="1" applyFont="1" applyFill="1" applyBorder="1" applyAlignment="1">
      <alignment horizontal="center" vertical="center"/>
    </xf>
    <xf numFmtId="0" fontId="0" fillId="13" borderId="0" xfId="0" applyFill="1" applyAlignment="1" applyProtection="1">
      <alignment horizontal="center"/>
      <protection locked="0"/>
    </xf>
    <xf numFmtId="14" fontId="0" fillId="13" borderId="7" xfId="0" applyNumberFormat="1" applyFill="1" applyBorder="1" applyAlignment="1" applyProtection="1">
      <alignment horizontal="center"/>
      <protection locked="0"/>
    </xf>
    <xf numFmtId="0" fontId="0" fillId="13" borderId="3" xfId="0" applyFill="1" applyBorder="1" applyAlignment="1" applyProtection="1">
      <alignment horizontal="center"/>
      <protection locked="0"/>
    </xf>
    <xf numFmtId="0" fontId="1" fillId="13" borderId="3" xfId="1" applyFill="1" applyBorder="1" applyAlignment="1" applyProtection="1">
      <alignment horizontal="center"/>
      <protection locked="0"/>
    </xf>
    <xf numFmtId="165" fontId="6" fillId="15" borderId="11" xfId="0" applyNumberFormat="1" applyFont="1" applyFill="1" applyBorder="1" applyAlignment="1">
      <alignment horizontal="center" vertical="center"/>
    </xf>
    <xf numFmtId="165" fontId="6" fillId="15" borderId="12" xfId="0" applyNumberFormat="1" applyFont="1" applyFill="1" applyBorder="1" applyAlignment="1">
      <alignment horizontal="center" vertical="center"/>
    </xf>
    <xf numFmtId="164" fontId="4" fillId="13" borderId="0" xfId="0" applyNumberFormat="1" applyFont="1" applyFill="1" applyAlignment="1">
      <alignment horizontal="center"/>
    </xf>
    <xf numFmtId="164" fontId="27" fillId="15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 vertical="top"/>
    </xf>
    <xf numFmtId="0" fontId="16" fillId="15" borderId="5" xfId="0" applyFont="1" applyFill="1" applyBorder="1" applyAlignment="1">
      <alignment horizontal="center" vertical="center" wrapText="1"/>
    </xf>
    <xf numFmtId="0" fontId="16" fillId="15" borderId="0" xfId="0" applyFont="1" applyFill="1" applyAlignment="1">
      <alignment horizontal="center" vertical="center" wrapText="1"/>
    </xf>
    <xf numFmtId="0" fontId="16" fillId="15" borderId="3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1" fillId="0" borderId="15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6" xfId="0" applyFont="1" applyBorder="1" applyAlignment="1">
      <alignment horizontal="left" vertical="center" wrapText="1"/>
    </xf>
    <xf numFmtId="0" fontId="17" fillId="15" borderId="14" xfId="0" applyFont="1" applyFill="1" applyBorder="1" applyAlignment="1">
      <alignment horizontal="center" wrapText="1"/>
    </xf>
    <xf numFmtId="0" fontId="17" fillId="15" borderId="21" xfId="0" applyFont="1" applyFill="1" applyBorder="1" applyAlignment="1">
      <alignment horizontal="center" wrapText="1"/>
    </xf>
    <xf numFmtId="0" fontId="17" fillId="15" borderId="17" xfId="0" applyFont="1" applyFill="1" applyBorder="1" applyAlignment="1">
      <alignment horizontal="center" wrapText="1"/>
    </xf>
    <xf numFmtId="0" fontId="0" fillId="0" borderId="14" xfId="0" applyBorder="1" applyAlignment="1">
      <alignment horizontal="center" vertical="top" wrapText="1"/>
    </xf>
    <xf numFmtId="0" fontId="0" fillId="0" borderId="21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2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4" fontId="14" fillId="0" borderId="1" xfId="0" applyNumberFormat="1" applyFont="1" applyFill="1" applyBorder="1" applyAlignment="1" applyProtection="1">
      <alignment horizontal="center"/>
      <protection locked="0"/>
    </xf>
    <xf numFmtId="0" fontId="14" fillId="0" borderId="1" xfId="0" applyFont="1" applyFill="1" applyBorder="1" applyAlignment="1" applyProtection="1">
      <alignment horizontal="center"/>
      <protection locked="0"/>
    </xf>
    <xf numFmtId="0" fontId="14" fillId="12" borderId="0" xfId="0" applyFont="1" applyFill="1" applyProtection="1"/>
    <xf numFmtId="0" fontId="14" fillId="12" borderId="0" xfId="0" applyFont="1" applyFill="1" applyAlignment="1" applyProtection="1">
      <alignment horizontal="center"/>
    </xf>
    <xf numFmtId="0" fontId="0" fillId="12" borderId="0" xfId="0" applyFill="1" applyProtection="1"/>
    <xf numFmtId="0" fontId="0" fillId="0" borderId="0" xfId="0" applyProtection="1"/>
    <xf numFmtId="0" fontId="13" fillId="4" borderId="1" xfId="0" applyFont="1" applyFill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4" fontId="13" fillId="14" borderId="1" xfId="0" applyNumberFormat="1" applyFont="1" applyFill="1" applyBorder="1" applyAlignment="1" applyProtection="1">
      <alignment horizontal="center"/>
    </xf>
    <xf numFmtId="14" fontId="14" fillId="0" borderId="1" xfId="0" applyNumberFormat="1" applyFont="1" applyBorder="1" applyAlignment="1" applyProtection="1">
      <alignment horizontal="center"/>
    </xf>
    <xf numFmtId="14" fontId="14" fillId="0" borderId="1" xfId="0" applyNumberFormat="1" applyFont="1" applyBorder="1" applyAlignment="1" applyProtection="1">
      <alignment horizontal="center" wrapText="1"/>
    </xf>
    <xf numFmtId="14" fontId="14" fillId="0" borderId="21" xfId="0" applyNumberFormat="1" applyFont="1" applyBorder="1" applyAlignment="1" applyProtection="1">
      <alignment horizontal="center"/>
    </xf>
    <xf numFmtId="14" fontId="14" fillId="0" borderId="1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0" fontId="14" fillId="0" borderId="1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 wrapText="1"/>
    </xf>
    <xf numFmtId="0" fontId="14" fillId="0" borderId="1" xfId="0" applyFont="1" applyFill="1" applyBorder="1" applyAlignment="1" applyProtection="1">
      <alignment horizontal="center"/>
    </xf>
    <xf numFmtId="14" fontId="28" fillId="0" borderId="1" xfId="0" applyNumberFormat="1" applyFont="1" applyBorder="1" applyAlignment="1" applyProtection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A92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603249</xdr:colOff>
      <xdr:row>16</xdr:row>
      <xdr:rowOff>137582</xdr:rowOff>
    </xdr:from>
    <xdr:to>
      <xdr:col>27</xdr:col>
      <xdr:colOff>363568</xdr:colOff>
      <xdr:row>20</xdr:row>
      <xdr:rowOff>179917</xdr:rowOff>
    </xdr:to>
    <xdr:sp macro="[0]!atualiza_calendari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53602" y="4115670"/>
          <a:ext cx="2718672" cy="804335"/>
        </a:xfrm>
        <a:prstGeom prst="roundRect">
          <a:avLst/>
        </a:prstGeom>
        <a:solidFill>
          <a:schemeClr val="bg1">
            <a:lumMod val="6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/>
            <a:t>ATUALIZAR CALENDÁRIO </a:t>
          </a:r>
          <a:endParaRPr lang="pt-BR" sz="2000" b="1"/>
        </a:p>
      </xdr:txBody>
    </xdr:sp>
    <xdr:clientData/>
  </xdr:twoCellAnchor>
  <xdr:twoCellAnchor>
    <xdr:from>
      <xdr:col>25</xdr:col>
      <xdr:colOff>580838</xdr:colOff>
      <xdr:row>22</xdr:row>
      <xdr:rowOff>3112</xdr:rowOff>
    </xdr:from>
    <xdr:to>
      <xdr:col>27</xdr:col>
      <xdr:colOff>341157</xdr:colOff>
      <xdr:row>26</xdr:row>
      <xdr:rowOff>45447</xdr:rowOff>
    </xdr:to>
    <xdr:sp macro="[0]!verifica_validade_ins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731191" y="5124200"/>
          <a:ext cx="2718672" cy="804335"/>
        </a:xfrm>
        <a:prstGeom prst="roundRect">
          <a:avLst/>
        </a:prstGeom>
        <a:solidFill>
          <a:schemeClr val="bg1">
            <a:lumMod val="6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/>
            <a:t>VERIFICAR INSPEÇÕES </a:t>
          </a:r>
          <a:endParaRPr lang="pt-BR" sz="2000" b="1"/>
        </a:p>
      </xdr:txBody>
    </xdr:sp>
    <xdr:clientData/>
  </xdr:twoCellAnchor>
  <xdr:twoCellAnchor>
    <xdr:from>
      <xdr:col>25</xdr:col>
      <xdr:colOff>546688</xdr:colOff>
      <xdr:row>27</xdr:row>
      <xdr:rowOff>90447</xdr:rowOff>
    </xdr:from>
    <xdr:to>
      <xdr:col>27</xdr:col>
      <xdr:colOff>394787</xdr:colOff>
      <xdr:row>31</xdr:row>
      <xdr:rowOff>79865</xdr:rowOff>
    </xdr:to>
    <xdr:sp macro="[0]!desbloqueio_banco_de_dado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68331" y="6159233"/>
          <a:ext cx="2814456" cy="751418"/>
        </a:xfrm>
        <a:prstGeom prst="roundRect">
          <a:avLst/>
        </a:prstGeom>
        <a:solidFill>
          <a:schemeClr val="bg1">
            <a:lumMod val="6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ADM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0</xdr:row>
      <xdr:rowOff>38100</xdr:rowOff>
    </xdr:from>
    <xdr:to>
      <xdr:col>10</xdr:col>
      <xdr:colOff>219075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724275" y="38100"/>
          <a:ext cx="3752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ysClr val="windowText" lastClr="000000"/>
              </a:solidFill>
            </a:rPr>
            <a:t>Relatório</a:t>
          </a:r>
          <a:r>
            <a:rPr lang="pt-BR" sz="1400" b="1" baseline="0">
              <a:solidFill>
                <a:sysClr val="windowText" lastClr="000000"/>
              </a:solidFill>
            </a:rPr>
            <a:t> Rotina de Operações Diárias 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auro\Engenharia\Programa&#231;&#227;o\VBA%20Projetos\Projeto%20ROP\Ver-3\Check%20List%20ROP_V3.xlsx" TargetMode="External"/><Relationship Id="rId1" Type="http://schemas.openxmlformats.org/officeDocument/2006/relationships/externalLinkPath" Target="file:///D:\lauro\Engenharia\Programa&#231;&#227;o\VBA%20Projetos\Projeto%20ROP\Ver-3\Check%20List%20ROP_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3 dias"/>
      <sheetName val="Quinzenal"/>
      <sheetName val="Mensal"/>
      <sheetName val="Histórico de Revisões"/>
    </sheetNames>
    <sheetDataSet>
      <sheetData sheetId="0"/>
      <sheetData sheetId="1"/>
      <sheetData sheetId="2"/>
      <sheetData sheetId="3">
        <row r="4">
          <cell r="B4" t="str">
            <v>Rev.1</v>
          </cell>
          <cell r="F4">
            <v>44997</v>
          </cell>
        </row>
        <row r="5">
          <cell r="B5"/>
          <cell r="F5"/>
        </row>
        <row r="6">
          <cell r="B6"/>
          <cell r="F6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XFC38"/>
  <sheetViews>
    <sheetView tabSelected="1" topLeftCell="G1" zoomScale="80" zoomScaleNormal="80" workbookViewId="0">
      <selection activeCell="B5" sqref="B5"/>
    </sheetView>
  </sheetViews>
  <sheetFormatPr defaultColWidth="0" defaultRowHeight="15" zeroHeight="1" x14ac:dyDescent="0.25"/>
  <cols>
    <col min="1" max="1" width="9.140625" style="26" customWidth="1"/>
    <col min="2" max="16" width="9.140625" style="3" customWidth="1"/>
    <col min="17" max="17" width="9.42578125" style="3" customWidth="1"/>
    <col min="18" max="25" width="9.140625" style="3" customWidth="1"/>
    <col min="26" max="26" width="10.5703125" style="3" customWidth="1"/>
    <col min="27" max="27" width="33.85546875" style="3" customWidth="1"/>
    <col min="28" max="28" width="16.7109375" style="3" customWidth="1"/>
    <col min="29" max="16383" width="9.140625" style="3" hidden="1"/>
    <col min="16384" max="16384" width="0.7109375" style="3" hidden="1" customWidth="1"/>
  </cols>
  <sheetData>
    <row r="1" spans="1:28" customFormat="1" ht="61.5" customHeight="1" x14ac:dyDescent="0.9">
      <c r="A1" s="60"/>
      <c r="B1" s="103">
        <v>44927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77"/>
      <c r="Z1" s="102"/>
      <c r="AA1" s="102"/>
      <c r="AB1" s="96"/>
    </row>
    <row r="2" spans="1:28" customFormat="1" ht="46.5" customHeight="1" x14ac:dyDescent="0.7">
      <c r="A2" s="60"/>
      <c r="B2" s="61"/>
      <c r="C2" s="61"/>
      <c r="D2" s="62"/>
      <c r="E2" s="62"/>
      <c r="F2" s="62"/>
      <c r="G2" s="62"/>
      <c r="H2" s="61"/>
      <c r="I2" s="63"/>
      <c r="J2" s="61"/>
      <c r="K2" s="61"/>
      <c r="L2" s="61"/>
      <c r="M2" s="61"/>
      <c r="N2" s="61"/>
      <c r="O2" s="61"/>
      <c r="P2" s="61"/>
      <c r="Q2" s="63"/>
      <c r="R2" s="61"/>
      <c r="S2" s="61"/>
      <c r="T2" s="61"/>
      <c r="U2" s="61"/>
      <c r="V2" s="61"/>
      <c r="W2" s="61"/>
      <c r="X2" s="61"/>
      <c r="Y2" s="61"/>
      <c r="Z2" s="77"/>
      <c r="AA2" s="77"/>
      <c r="AB2" s="98"/>
    </row>
    <row r="3" spans="1:28" customFormat="1" x14ac:dyDescent="0.25">
      <c r="A3" s="60"/>
      <c r="B3" s="93" t="s">
        <v>11</v>
      </c>
      <c r="C3" s="94"/>
      <c r="D3" s="94"/>
      <c r="E3" s="94"/>
      <c r="F3" s="94"/>
      <c r="G3" s="94"/>
      <c r="H3" s="95"/>
      <c r="I3" s="60"/>
      <c r="J3" s="93" t="s">
        <v>12</v>
      </c>
      <c r="K3" s="94"/>
      <c r="L3" s="94"/>
      <c r="M3" s="94"/>
      <c r="N3" s="94"/>
      <c r="O3" s="94"/>
      <c r="P3" s="95"/>
      <c r="Q3" s="60"/>
      <c r="R3" s="93" t="s">
        <v>13</v>
      </c>
      <c r="S3" s="94"/>
      <c r="T3" s="94"/>
      <c r="U3" s="94"/>
      <c r="V3" s="94"/>
      <c r="W3" s="94"/>
      <c r="X3" s="95"/>
      <c r="Y3" s="78"/>
      <c r="Z3" s="100" t="s">
        <v>9</v>
      </c>
      <c r="AA3" s="101" t="s">
        <v>0</v>
      </c>
      <c r="AB3" s="59" t="s">
        <v>23</v>
      </c>
    </row>
    <row r="4" spans="1:28" s="1" customFormat="1" ht="12.75" x14ac:dyDescent="0.2">
      <c r="A4" s="60"/>
      <c r="B4" s="64" t="s">
        <v>1</v>
      </c>
      <c r="C4" s="65" t="s">
        <v>2</v>
      </c>
      <c r="D4" s="65" t="s">
        <v>3</v>
      </c>
      <c r="E4" s="65" t="s">
        <v>4</v>
      </c>
      <c r="F4" s="65" t="s">
        <v>5</v>
      </c>
      <c r="G4" s="65" t="s">
        <v>6</v>
      </c>
      <c r="H4" s="66" t="s">
        <v>7</v>
      </c>
      <c r="I4" s="60"/>
      <c r="J4" s="67" t="s">
        <v>1</v>
      </c>
      <c r="K4" s="68" t="s">
        <v>2</v>
      </c>
      <c r="L4" s="68" t="s">
        <v>3</v>
      </c>
      <c r="M4" s="68" t="s">
        <v>4</v>
      </c>
      <c r="N4" s="68" t="s">
        <v>5</v>
      </c>
      <c r="O4" s="68" t="s">
        <v>6</v>
      </c>
      <c r="P4" s="69" t="s">
        <v>7</v>
      </c>
      <c r="Q4" s="60"/>
      <c r="R4" s="67" t="s">
        <v>1</v>
      </c>
      <c r="S4" s="68" t="s">
        <v>2</v>
      </c>
      <c r="T4" s="68" t="s">
        <v>3</v>
      </c>
      <c r="U4" s="68" t="s">
        <v>4</v>
      </c>
      <c r="V4" s="68" t="s">
        <v>5</v>
      </c>
      <c r="W4" s="68" t="s">
        <v>6</v>
      </c>
      <c r="X4" s="69" t="s">
        <v>7</v>
      </c>
      <c r="Y4" s="79"/>
      <c r="Z4" s="74"/>
      <c r="AA4" s="80" t="s">
        <v>114</v>
      </c>
      <c r="AB4" s="2">
        <v>45069</v>
      </c>
    </row>
    <row r="5" spans="1:28" customFormat="1" x14ac:dyDescent="0.25">
      <c r="A5" s="60"/>
      <c r="B5" s="70"/>
      <c r="C5" s="70"/>
      <c r="D5" s="70"/>
      <c r="E5" s="70"/>
      <c r="F5" s="70"/>
      <c r="G5" s="70"/>
      <c r="H5" s="71">
        <v>44927</v>
      </c>
      <c r="I5" s="72"/>
      <c r="J5" s="70"/>
      <c r="K5" s="70"/>
      <c r="L5" s="71">
        <v>44958</v>
      </c>
      <c r="M5" s="71">
        <v>44959</v>
      </c>
      <c r="N5" s="71">
        <v>44960</v>
      </c>
      <c r="O5" s="71">
        <v>44961</v>
      </c>
      <c r="P5" s="71">
        <v>44962</v>
      </c>
      <c r="Q5" s="72"/>
      <c r="R5" s="70"/>
      <c r="S5" s="70"/>
      <c r="T5" s="71">
        <v>44986</v>
      </c>
      <c r="U5" s="71">
        <v>44987</v>
      </c>
      <c r="V5" s="71">
        <v>44988</v>
      </c>
      <c r="W5" s="71">
        <v>44989</v>
      </c>
      <c r="X5" s="71">
        <v>44990</v>
      </c>
      <c r="Y5" s="81"/>
      <c r="Z5" s="82"/>
      <c r="AA5" s="83"/>
      <c r="AB5" s="97"/>
    </row>
    <row r="6" spans="1:28" customFormat="1" x14ac:dyDescent="0.25">
      <c r="A6" s="60"/>
      <c r="B6" s="71">
        <v>44928</v>
      </c>
      <c r="C6" s="71">
        <v>44929</v>
      </c>
      <c r="D6" s="71">
        <v>44930</v>
      </c>
      <c r="E6" s="71">
        <v>44931</v>
      </c>
      <c r="F6" s="71">
        <v>44932</v>
      </c>
      <c r="G6" s="71">
        <v>44933</v>
      </c>
      <c r="H6" s="71">
        <v>44934</v>
      </c>
      <c r="I6" s="72"/>
      <c r="J6" s="71">
        <v>44963</v>
      </c>
      <c r="K6" s="71">
        <v>44964</v>
      </c>
      <c r="L6" s="71">
        <v>44965</v>
      </c>
      <c r="M6" s="71">
        <v>44966</v>
      </c>
      <c r="N6" s="71">
        <v>44967</v>
      </c>
      <c r="O6" s="71">
        <v>44968</v>
      </c>
      <c r="P6" s="71">
        <v>44969</v>
      </c>
      <c r="Q6" s="72"/>
      <c r="R6" s="71">
        <v>44991</v>
      </c>
      <c r="S6" s="71">
        <v>44992</v>
      </c>
      <c r="T6" s="71">
        <v>44993</v>
      </c>
      <c r="U6" s="71">
        <v>44994</v>
      </c>
      <c r="V6" s="71">
        <v>44995</v>
      </c>
      <c r="W6" s="71">
        <v>44996</v>
      </c>
      <c r="X6" s="71">
        <v>44997</v>
      </c>
      <c r="Y6" s="81"/>
      <c r="Z6" s="84"/>
      <c r="AA6" s="80" t="s">
        <v>10</v>
      </c>
      <c r="AB6" s="97"/>
    </row>
    <row r="7" spans="1:28" customFormat="1" x14ac:dyDescent="0.25">
      <c r="A7" s="60"/>
      <c r="B7" s="71">
        <v>44935</v>
      </c>
      <c r="C7" s="71">
        <v>44936</v>
      </c>
      <c r="D7" s="71">
        <v>44937</v>
      </c>
      <c r="E7" s="71">
        <v>44938</v>
      </c>
      <c r="F7" s="71">
        <v>44939</v>
      </c>
      <c r="G7" s="71">
        <v>44940</v>
      </c>
      <c r="H7" s="71">
        <v>44941</v>
      </c>
      <c r="I7" s="72"/>
      <c r="J7" s="71">
        <v>44970</v>
      </c>
      <c r="K7" s="71">
        <v>44971</v>
      </c>
      <c r="L7" s="71">
        <v>44972</v>
      </c>
      <c r="M7" s="71">
        <v>44973</v>
      </c>
      <c r="N7" s="71">
        <v>44974</v>
      </c>
      <c r="O7" s="71">
        <v>44975</v>
      </c>
      <c r="P7" s="71">
        <v>44976</v>
      </c>
      <c r="Q7" s="72"/>
      <c r="R7" s="71">
        <v>44998</v>
      </c>
      <c r="S7" s="71">
        <v>44999</v>
      </c>
      <c r="T7" s="71">
        <v>45000</v>
      </c>
      <c r="U7" s="71">
        <v>45001</v>
      </c>
      <c r="V7" s="71">
        <v>45002</v>
      </c>
      <c r="W7" s="71">
        <v>45003</v>
      </c>
      <c r="X7" s="71">
        <v>45004</v>
      </c>
      <c r="Y7" s="81"/>
      <c r="Z7" s="82"/>
      <c r="AA7" s="83"/>
      <c r="AB7" s="97"/>
    </row>
    <row r="8" spans="1:28" customFormat="1" x14ac:dyDescent="0.25">
      <c r="A8" s="60"/>
      <c r="B8" s="71">
        <v>44942</v>
      </c>
      <c r="C8" s="71">
        <v>44943</v>
      </c>
      <c r="D8" s="71">
        <v>44944</v>
      </c>
      <c r="E8" s="71">
        <v>44945</v>
      </c>
      <c r="F8" s="71">
        <v>44946</v>
      </c>
      <c r="G8" s="71">
        <v>44947</v>
      </c>
      <c r="H8" s="71">
        <v>44948</v>
      </c>
      <c r="I8" s="72"/>
      <c r="J8" s="71">
        <v>44977</v>
      </c>
      <c r="K8" s="71">
        <v>44978</v>
      </c>
      <c r="L8" s="71">
        <v>44979</v>
      </c>
      <c r="M8" s="71">
        <v>44980</v>
      </c>
      <c r="N8" s="71">
        <v>44981</v>
      </c>
      <c r="O8" s="71">
        <v>44982</v>
      </c>
      <c r="P8" s="71">
        <v>44983</v>
      </c>
      <c r="Q8" s="72"/>
      <c r="R8" s="71">
        <v>45005</v>
      </c>
      <c r="S8" s="71">
        <v>45006</v>
      </c>
      <c r="T8" s="71">
        <v>45007</v>
      </c>
      <c r="U8" s="71">
        <v>45008</v>
      </c>
      <c r="V8" s="71">
        <v>45009</v>
      </c>
      <c r="W8" s="71">
        <v>45010</v>
      </c>
      <c r="X8" s="71">
        <v>45011</v>
      </c>
      <c r="Y8" s="81"/>
      <c r="Z8" s="85"/>
      <c r="AA8" s="80" t="s">
        <v>8</v>
      </c>
      <c r="AB8" s="97"/>
    </row>
    <row r="9" spans="1:28" customFormat="1" x14ac:dyDescent="0.25">
      <c r="A9" s="60"/>
      <c r="B9" s="71">
        <v>44949</v>
      </c>
      <c r="C9" s="71">
        <v>44950</v>
      </c>
      <c r="D9" s="71">
        <v>44951</v>
      </c>
      <c r="E9" s="71">
        <v>44952</v>
      </c>
      <c r="F9" s="71">
        <v>44953</v>
      </c>
      <c r="G9" s="71">
        <v>44954</v>
      </c>
      <c r="H9" s="71">
        <v>44955</v>
      </c>
      <c r="I9" s="72"/>
      <c r="J9" s="71">
        <v>44984</v>
      </c>
      <c r="K9" s="71">
        <v>44985</v>
      </c>
      <c r="L9" s="70"/>
      <c r="M9" s="70"/>
      <c r="N9" s="70"/>
      <c r="O9" s="70"/>
      <c r="P9" s="70"/>
      <c r="Q9" s="72"/>
      <c r="R9" s="71">
        <v>45012</v>
      </c>
      <c r="S9" s="71">
        <v>45013</v>
      </c>
      <c r="T9" s="71">
        <v>45014</v>
      </c>
      <c r="U9" s="71">
        <v>45015</v>
      </c>
      <c r="V9" s="71">
        <v>45016</v>
      </c>
      <c r="W9" s="70"/>
      <c r="X9" s="70"/>
      <c r="Y9" s="86"/>
      <c r="Z9" s="82"/>
      <c r="AA9" s="83"/>
      <c r="AB9" s="97"/>
    </row>
    <row r="10" spans="1:28" customFormat="1" x14ac:dyDescent="0.25">
      <c r="A10" s="60"/>
      <c r="B10" s="71">
        <v>44956</v>
      </c>
      <c r="C10" s="70">
        <v>44957</v>
      </c>
      <c r="D10" s="70"/>
      <c r="E10" s="70"/>
      <c r="F10" s="70"/>
      <c r="G10" s="70"/>
      <c r="H10" s="70"/>
      <c r="I10" s="72"/>
      <c r="J10" s="70"/>
      <c r="K10" s="70"/>
      <c r="L10" s="70"/>
      <c r="M10" s="70"/>
      <c r="N10" s="70"/>
      <c r="O10" s="70"/>
      <c r="P10" s="70"/>
      <c r="Q10" s="72"/>
      <c r="R10" s="70"/>
      <c r="S10" s="70"/>
      <c r="T10" s="70"/>
      <c r="U10" s="70"/>
      <c r="V10" s="70"/>
      <c r="W10" s="70"/>
      <c r="X10" s="70"/>
      <c r="Y10" s="86"/>
      <c r="Z10" s="87"/>
      <c r="AA10" s="80" t="s">
        <v>115</v>
      </c>
      <c r="AB10" s="97"/>
    </row>
    <row r="11" spans="1:28" customFormat="1" x14ac:dyDescent="0.25">
      <c r="A11" s="60"/>
      <c r="B11" s="73"/>
      <c r="C11" s="73"/>
      <c r="D11" s="73"/>
      <c r="E11" s="73"/>
      <c r="F11" s="73"/>
      <c r="G11" s="73"/>
      <c r="H11" s="73"/>
      <c r="I11" s="72"/>
      <c r="J11" s="73"/>
      <c r="K11" s="73"/>
      <c r="L11" s="73"/>
      <c r="M11" s="73"/>
      <c r="N11" s="73"/>
      <c r="O11" s="73"/>
      <c r="P11" s="73"/>
      <c r="Q11" s="72"/>
      <c r="R11" s="73"/>
      <c r="S11" s="73"/>
      <c r="T11" s="73"/>
      <c r="U11" s="73"/>
      <c r="V11" s="73"/>
      <c r="W11" s="73"/>
      <c r="X11" s="73"/>
      <c r="Y11" s="88"/>
      <c r="Z11" s="82"/>
      <c r="AA11" s="83"/>
      <c r="AB11" s="97"/>
    </row>
    <row r="12" spans="1:28" customFormat="1" x14ac:dyDescent="0.25">
      <c r="A12" s="60"/>
      <c r="B12" s="93" t="s">
        <v>14</v>
      </c>
      <c r="C12" s="94"/>
      <c r="D12" s="94"/>
      <c r="E12" s="94"/>
      <c r="F12" s="94"/>
      <c r="G12" s="94"/>
      <c r="H12" s="95"/>
      <c r="I12" s="60"/>
      <c r="J12" s="93" t="s">
        <v>15</v>
      </c>
      <c r="K12" s="94"/>
      <c r="L12" s="94"/>
      <c r="M12" s="94"/>
      <c r="N12" s="94"/>
      <c r="O12" s="94"/>
      <c r="P12" s="95"/>
      <c r="Q12" s="60"/>
      <c r="R12" s="93" t="s">
        <v>16</v>
      </c>
      <c r="S12" s="94"/>
      <c r="T12" s="94"/>
      <c r="U12" s="94"/>
      <c r="V12" s="94"/>
      <c r="W12" s="94"/>
      <c r="X12" s="95"/>
      <c r="Y12" s="78"/>
      <c r="Z12" s="89"/>
      <c r="AA12" s="80" t="s">
        <v>116</v>
      </c>
      <c r="AB12" s="97"/>
    </row>
    <row r="13" spans="1:28" s="1" customFormat="1" ht="12.75" x14ac:dyDescent="0.2">
      <c r="A13" s="60"/>
      <c r="B13" s="64" t="s">
        <v>1</v>
      </c>
      <c r="C13" s="65" t="s">
        <v>2</v>
      </c>
      <c r="D13" s="65" t="s">
        <v>3</v>
      </c>
      <c r="E13" s="65" t="s">
        <v>4</v>
      </c>
      <c r="F13" s="65" t="s">
        <v>5</v>
      </c>
      <c r="G13" s="65" t="s">
        <v>6</v>
      </c>
      <c r="H13" s="66" t="s">
        <v>7</v>
      </c>
      <c r="I13" s="60"/>
      <c r="J13" s="64" t="s">
        <v>1</v>
      </c>
      <c r="K13" s="65" t="s">
        <v>2</v>
      </c>
      <c r="L13" s="65" t="s">
        <v>3</v>
      </c>
      <c r="M13" s="65" t="s">
        <v>4</v>
      </c>
      <c r="N13" s="65" t="s">
        <v>5</v>
      </c>
      <c r="O13" s="65" t="s">
        <v>6</v>
      </c>
      <c r="P13" s="66" t="s">
        <v>7</v>
      </c>
      <c r="Q13" s="60"/>
      <c r="R13" s="64" t="s">
        <v>1</v>
      </c>
      <c r="S13" s="65" t="s">
        <v>2</v>
      </c>
      <c r="T13" s="65" t="s">
        <v>3</v>
      </c>
      <c r="U13" s="65" t="s">
        <v>4</v>
      </c>
      <c r="V13" s="65" t="s">
        <v>5</v>
      </c>
      <c r="W13" s="65" t="s">
        <v>6</v>
      </c>
      <c r="X13" s="66" t="s">
        <v>7</v>
      </c>
      <c r="Y13" s="79"/>
      <c r="Z13" s="82"/>
      <c r="AA13" s="83"/>
      <c r="AB13" s="97"/>
    </row>
    <row r="14" spans="1:28" customFormat="1" x14ac:dyDescent="0.25">
      <c r="A14" s="60"/>
      <c r="B14" s="70"/>
      <c r="C14" s="70"/>
      <c r="D14" s="70"/>
      <c r="E14" s="70"/>
      <c r="F14" s="70"/>
      <c r="G14" s="71">
        <v>45017</v>
      </c>
      <c r="H14" s="71">
        <v>45018</v>
      </c>
      <c r="I14" s="72"/>
      <c r="J14" s="71">
        <v>45047</v>
      </c>
      <c r="K14" s="71">
        <v>45048</v>
      </c>
      <c r="L14" s="71">
        <v>45049</v>
      </c>
      <c r="M14" s="71">
        <v>45050</v>
      </c>
      <c r="N14" s="71">
        <v>45051</v>
      </c>
      <c r="O14" s="71">
        <v>45052</v>
      </c>
      <c r="P14" s="71">
        <v>45053</v>
      </c>
      <c r="Q14" s="72"/>
      <c r="R14" s="70"/>
      <c r="S14" s="70"/>
      <c r="T14" s="70"/>
      <c r="U14" s="71">
        <v>45078</v>
      </c>
      <c r="V14" s="74">
        <v>45079</v>
      </c>
      <c r="W14" s="71">
        <v>45080</v>
      </c>
      <c r="X14" s="71">
        <v>45081</v>
      </c>
      <c r="Y14" s="81"/>
      <c r="Z14" s="90"/>
      <c r="AA14" s="80" t="s">
        <v>117</v>
      </c>
      <c r="AB14" s="97"/>
    </row>
    <row r="15" spans="1:28" customFormat="1" x14ac:dyDescent="0.25">
      <c r="A15" s="60"/>
      <c r="B15" s="71">
        <v>45019</v>
      </c>
      <c r="C15" s="71">
        <v>45020</v>
      </c>
      <c r="D15" s="71">
        <v>45021</v>
      </c>
      <c r="E15" s="71">
        <v>45022</v>
      </c>
      <c r="F15" s="71">
        <v>45023</v>
      </c>
      <c r="G15" s="71">
        <v>45024</v>
      </c>
      <c r="H15" s="71">
        <v>45025</v>
      </c>
      <c r="I15" s="72"/>
      <c r="J15" s="71">
        <v>45054</v>
      </c>
      <c r="K15" s="71">
        <v>45055</v>
      </c>
      <c r="L15" s="71">
        <v>45056</v>
      </c>
      <c r="M15" s="71">
        <v>45057</v>
      </c>
      <c r="N15" s="71">
        <v>45058</v>
      </c>
      <c r="O15" s="71">
        <v>45059</v>
      </c>
      <c r="P15" s="71">
        <v>45060</v>
      </c>
      <c r="Q15" s="72"/>
      <c r="R15" s="71">
        <v>45082</v>
      </c>
      <c r="S15" s="71">
        <v>45083</v>
      </c>
      <c r="T15" s="75">
        <v>45084</v>
      </c>
      <c r="U15" s="71">
        <v>45085</v>
      </c>
      <c r="V15" s="71">
        <v>45086</v>
      </c>
      <c r="W15" s="71">
        <v>45087</v>
      </c>
      <c r="X15" s="71">
        <v>45088</v>
      </c>
      <c r="Y15" s="81"/>
      <c r="Z15" s="91"/>
      <c r="AA15" s="92"/>
      <c r="AB15" s="97"/>
    </row>
    <row r="16" spans="1:28" x14ac:dyDescent="0.25">
      <c r="A16" s="60"/>
      <c r="B16" s="71">
        <v>45026</v>
      </c>
      <c r="C16" s="71">
        <v>45027</v>
      </c>
      <c r="D16" s="71">
        <v>45028</v>
      </c>
      <c r="E16" s="71">
        <v>45029</v>
      </c>
      <c r="F16" s="71">
        <v>45030</v>
      </c>
      <c r="G16" s="71">
        <v>45031</v>
      </c>
      <c r="H16" s="71">
        <v>45032</v>
      </c>
      <c r="I16" s="72"/>
      <c r="J16" s="71">
        <v>45061</v>
      </c>
      <c r="K16" s="71">
        <v>45062</v>
      </c>
      <c r="L16" s="71">
        <v>45063</v>
      </c>
      <c r="M16" s="71">
        <v>45064</v>
      </c>
      <c r="N16" s="71">
        <v>45065</v>
      </c>
      <c r="O16" s="71">
        <v>45066</v>
      </c>
      <c r="P16" s="71">
        <v>45067</v>
      </c>
      <c r="Q16" s="72"/>
      <c r="R16" s="74">
        <v>45089</v>
      </c>
      <c r="S16" s="71">
        <v>45090</v>
      </c>
      <c r="T16" s="71">
        <v>45091</v>
      </c>
      <c r="U16" s="71">
        <v>45092</v>
      </c>
      <c r="V16" s="71">
        <v>45093</v>
      </c>
      <c r="W16" s="74">
        <v>45094</v>
      </c>
      <c r="X16" s="71">
        <v>45095</v>
      </c>
      <c r="Y16" s="27"/>
      <c r="Z16" s="96"/>
      <c r="AA16" s="96"/>
      <c r="AB16" s="96"/>
    </row>
    <row r="17" spans="1:28" x14ac:dyDescent="0.25">
      <c r="A17" s="60"/>
      <c r="B17" s="71">
        <v>45033</v>
      </c>
      <c r="C17" s="71">
        <v>45034</v>
      </c>
      <c r="D17" s="71">
        <v>45035</v>
      </c>
      <c r="E17" s="71">
        <v>45036</v>
      </c>
      <c r="F17" s="71">
        <v>45037</v>
      </c>
      <c r="G17" s="71">
        <v>45038</v>
      </c>
      <c r="H17" s="71">
        <v>45039</v>
      </c>
      <c r="I17" s="72"/>
      <c r="J17" s="71">
        <v>45068</v>
      </c>
      <c r="K17" s="74">
        <v>45069</v>
      </c>
      <c r="L17" s="71">
        <v>45070</v>
      </c>
      <c r="M17" s="71">
        <v>45071</v>
      </c>
      <c r="N17" s="71">
        <v>45072</v>
      </c>
      <c r="O17" s="71">
        <v>45073</v>
      </c>
      <c r="P17" s="74">
        <v>45074</v>
      </c>
      <c r="Q17" s="72"/>
      <c r="R17" s="71">
        <v>45096</v>
      </c>
      <c r="S17" s="71">
        <v>45097</v>
      </c>
      <c r="T17" s="71">
        <v>45098</v>
      </c>
      <c r="U17" s="75">
        <v>45099</v>
      </c>
      <c r="V17" s="76">
        <v>45100</v>
      </c>
      <c r="W17" s="71">
        <v>45101</v>
      </c>
      <c r="X17" s="71">
        <v>45102</v>
      </c>
      <c r="Y17" s="27"/>
      <c r="Z17" s="96"/>
      <c r="AA17" s="96"/>
      <c r="AB17" s="96"/>
    </row>
    <row r="18" spans="1:28" x14ac:dyDescent="0.25">
      <c r="A18" s="60"/>
      <c r="B18" s="71">
        <v>45040</v>
      </c>
      <c r="C18" s="71">
        <v>45041</v>
      </c>
      <c r="D18" s="71">
        <v>45042</v>
      </c>
      <c r="E18" s="71">
        <v>45043</v>
      </c>
      <c r="F18" s="71">
        <v>45044</v>
      </c>
      <c r="G18" s="71">
        <v>45045</v>
      </c>
      <c r="H18" s="71">
        <v>45046</v>
      </c>
      <c r="I18" s="72"/>
      <c r="J18" s="71">
        <v>45075</v>
      </c>
      <c r="K18" s="71">
        <v>45076</v>
      </c>
      <c r="L18" s="71">
        <v>45077</v>
      </c>
      <c r="M18" s="70"/>
      <c r="N18" s="70"/>
      <c r="O18" s="70"/>
      <c r="P18" s="70"/>
      <c r="Q18" s="72"/>
      <c r="R18" s="71">
        <v>45103</v>
      </c>
      <c r="S18" s="74">
        <v>45104</v>
      </c>
      <c r="T18" s="71">
        <v>45105</v>
      </c>
      <c r="U18" s="71">
        <v>45106</v>
      </c>
      <c r="V18" s="71">
        <v>45107</v>
      </c>
      <c r="W18" s="70"/>
      <c r="X18" s="70"/>
      <c r="Y18" s="28"/>
      <c r="Z18" s="96"/>
      <c r="AA18" s="96"/>
      <c r="AB18" s="96"/>
    </row>
    <row r="19" spans="1:28" x14ac:dyDescent="0.25">
      <c r="A19" s="60"/>
      <c r="B19" s="70"/>
      <c r="C19" s="70"/>
      <c r="D19" s="70"/>
      <c r="E19" s="70"/>
      <c r="F19" s="70"/>
      <c r="G19" s="70"/>
      <c r="H19" s="70"/>
      <c r="I19" s="72"/>
      <c r="J19" s="70"/>
      <c r="K19" s="70"/>
      <c r="L19" s="70"/>
      <c r="M19" s="70"/>
      <c r="N19" s="70"/>
      <c r="O19" s="70"/>
      <c r="P19" s="70"/>
      <c r="Q19" s="72"/>
      <c r="R19" s="70"/>
      <c r="S19" s="70"/>
      <c r="T19" s="70"/>
      <c r="U19" s="70"/>
      <c r="V19" s="70"/>
      <c r="W19" s="70"/>
      <c r="X19" s="70"/>
      <c r="Y19" s="28"/>
      <c r="Z19" s="96"/>
      <c r="AA19" s="96"/>
      <c r="AB19" s="96"/>
    </row>
    <row r="20" spans="1:28" x14ac:dyDescent="0.25">
      <c r="A20" s="60"/>
      <c r="B20" s="73"/>
      <c r="C20" s="73"/>
      <c r="D20" s="73"/>
      <c r="E20" s="73"/>
      <c r="F20" s="73"/>
      <c r="G20" s="73"/>
      <c r="H20" s="73"/>
      <c r="I20" s="72"/>
      <c r="J20" s="73"/>
      <c r="K20" s="73"/>
      <c r="L20" s="73"/>
      <c r="M20" s="73"/>
      <c r="N20" s="73"/>
      <c r="O20" s="73"/>
      <c r="P20" s="73"/>
      <c r="Q20" s="72"/>
      <c r="R20" s="73"/>
      <c r="S20" s="73"/>
      <c r="T20" s="73"/>
      <c r="U20" s="73"/>
      <c r="V20" s="73"/>
      <c r="W20" s="73"/>
      <c r="X20" s="73"/>
      <c r="Y20" s="29"/>
      <c r="Z20" s="96"/>
      <c r="AA20" s="96"/>
      <c r="AB20" s="96"/>
    </row>
    <row r="21" spans="1:28" x14ac:dyDescent="0.25">
      <c r="A21" s="60"/>
      <c r="B21" s="93" t="s">
        <v>17</v>
      </c>
      <c r="C21" s="94"/>
      <c r="D21" s="94"/>
      <c r="E21" s="94"/>
      <c r="F21" s="94"/>
      <c r="G21" s="94"/>
      <c r="H21" s="95"/>
      <c r="I21" s="60"/>
      <c r="J21" s="93" t="s">
        <v>18</v>
      </c>
      <c r="K21" s="94"/>
      <c r="L21" s="94"/>
      <c r="M21" s="94"/>
      <c r="N21" s="94"/>
      <c r="O21" s="94"/>
      <c r="P21" s="95"/>
      <c r="Q21" s="60"/>
      <c r="R21" s="93" t="s">
        <v>19</v>
      </c>
      <c r="S21" s="94"/>
      <c r="T21" s="94"/>
      <c r="U21" s="94"/>
      <c r="V21" s="94"/>
      <c r="W21" s="94"/>
      <c r="X21" s="95"/>
      <c r="Y21" s="30"/>
      <c r="Z21" s="96"/>
      <c r="AA21" s="96"/>
      <c r="AB21" s="96"/>
    </row>
    <row r="22" spans="1:28" s="20" customFormat="1" ht="15" customHeight="1" x14ac:dyDescent="0.2">
      <c r="A22" s="60"/>
      <c r="B22" s="64" t="s">
        <v>1</v>
      </c>
      <c r="C22" s="65" t="s">
        <v>2</v>
      </c>
      <c r="D22" s="65" t="s">
        <v>3</v>
      </c>
      <c r="E22" s="65" t="s">
        <v>4</v>
      </c>
      <c r="F22" s="65" t="s">
        <v>5</v>
      </c>
      <c r="G22" s="65" t="s">
        <v>6</v>
      </c>
      <c r="H22" s="66" t="s">
        <v>7</v>
      </c>
      <c r="I22" s="60"/>
      <c r="J22" s="64" t="s">
        <v>1</v>
      </c>
      <c r="K22" s="65" t="s">
        <v>2</v>
      </c>
      <c r="L22" s="65" t="s">
        <v>3</v>
      </c>
      <c r="M22" s="65" t="s">
        <v>4</v>
      </c>
      <c r="N22" s="65" t="s">
        <v>5</v>
      </c>
      <c r="O22" s="65" t="s">
        <v>6</v>
      </c>
      <c r="P22" s="66" t="s">
        <v>7</v>
      </c>
      <c r="Q22" s="60"/>
      <c r="R22" s="64" t="s">
        <v>1</v>
      </c>
      <c r="S22" s="65" t="s">
        <v>2</v>
      </c>
      <c r="T22" s="65" t="s">
        <v>3</v>
      </c>
      <c r="U22" s="65" t="s">
        <v>4</v>
      </c>
      <c r="V22" s="65" t="s">
        <v>5</v>
      </c>
      <c r="W22" s="65" t="s">
        <v>6</v>
      </c>
      <c r="X22" s="66" t="s">
        <v>7</v>
      </c>
      <c r="Y22" s="31"/>
      <c r="Z22" s="96"/>
      <c r="AA22" s="96"/>
      <c r="AB22" s="96"/>
    </row>
    <row r="23" spans="1:28" x14ac:dyDescent="0.25">
      <c r="A23" s="60"/>
      <c r="B23" s="70"/>
      <c r="C23" s="70"/>
      <c r="D23" s="70"/>
      <c r="E23" s="70"/>
      <c r="F23" s="70"/>
      <c r="G23" s="71">
        <v>45108</v>
      </c>
      <c r="H23" s="74">
        <v>45109</v>
      </c>
      <c r="I23" s="72"/>
      <c r="J23" s="70"/>
      <c r="K23" s="74">
        <v>45139</v>
      </c>
      <c r="L23" s="71">
        <v>45140</v>
      </c>
      <c r="M23" s="71">
        <v>45141</v>
      </c>
      <c r="N23" s="71">
        <v>45142</v>
      </c>
      <c r="O23" s="71">
        <v>45143</v>
      </c>
      <c r="P23" s="75">
        <v>45144</v>
      </c>
      <c r="Q23" s="72"/>
      <c r="R23" s="70"/>
      <c r="S23" s="70"/>
      <c r="T23" s="70"/>
      <c r="U23" s="70">
        <v>44805</v>
      </c>
      <c r="V23" s="71">
        <v>45170</v>
      </c>
      <c r="W23" s="71">
        <v>45171</v>
      </c>
      <c r="X23" s="71">
        <v>45172</v>
      </c>
      <c r="Y23" s="27"/>
      <c r="Z23" s="96"/>
      <c r="AA23" s="96"/>
      <c r="AB23" s="96"/>
    </row>
    <row r="24" spans="1:28" x14ac:dyDescent="0.25">
      <c r="A24" s="60"/>
      <c r="B24" s="71">
        <v>45110</v>
      </c>
      <c r="C24" s="71">
        <v>45111</v>
      </c>
      <c r="D24" s="71">
        <v>45112</v>
      </c>
      <c r="E24" s="71">
        <v>45113</v>
      </c>
      <c r="F24" s="75">
        <v>45114</v>
      </c>
      <c r="G24" s="71">
        <v>45115</v>
      </c>
      <c r="H24" s="71">
        <v>45116</v>
      </c>
      <c r="I24" s="72"/>
      <c r="J24" s="71">
        <v>45145</v>
      </c>
      <c r="K24" s="71">
        <v>45146</v>
      </c>
      <c r="L24" s="71">
        <v>45147</v>
      </c>
      <c r="M24" s="71">
        <v>45148</v>
      </c>
      <c r="N24" s="74">
        <v>45149</v>
      </c>
      <c r="O24" s="71">
        <v>45150</v>
      </c>
      <c r="P24" s="71">
        <v>45151</v>
      </c>
      <c r="Q24" s="72"/>
      <c r="R24" s="71">
        <v>45173</v>
      </c>
      <c r="S24" s="75">
        <v>45174</v>
      </c>
      <c r="T24" s="71">
        <v>45175</v>
      </c>
      <c r="U24" s="71">
        <v>45176</v>
      </c>
      <c r="V24" s="71">
        <v>45177</v>
      </c>
      <c r="W24" s="71">
        <v>45178</v>
      </c>
      <c r="X24" s="74">
        <v>45179</v>
      </c>
      <c r="Y24" s="27"/>
      <c r="Z24" s="96"/>
      <c r="AA24" s="96"/>
      <c r="AB24" s="96"/>
    </row>
    <row r="25" spans="1:28" x14ac:dyDescent="0.25">
      <c r="A25" s="60"/>
      <c r="B25" s="71">
        <v>45117</v>
      </c>
      <c r="C25" s="71">
        <v>45118</v>
      </c>
      <c r="D25" s="74">
        <v>45119</v>
      </c>
      <c r="E25" s="71">
        <v>45120</v>
      </c>
      <c r="F25" s="71">
        <v>45121</v>
      </c>
      <c r="G25" s="71">
        <v>45122</v>
      </c>
      <c r="H25" s="71">
        <v>45123</v>
      </c>
      <c r="I25" s="72"/>
      <c r="J25" s="71">
        <v>45152</v>
      </c>
      <c r="K25" s="71">
        <v>45153</v>
      </c>
      <c r="L25" s="74">
        <v>45154</v>
      </c>
      <c r="M25" s="71">
        <v>45155</v>
      </c>
      <c r="N25" s="71">
        <v>45156</v>
      </c>
      <c r="O25" s="71">
        <v>45157</v>
      </c>
      <c r="P25" s="71">
        <v>45158</v>
      </c>
      <c r="Q25" s="72"/>
      <c r="R25" s="71">
        <v>45180</v>
      </c>
      <c r="S25" s="71">
        <v>45181</v>
      </c>
      <c r="T25" s="71">
        <v>45182</v>
      </c>
      <c r="U25" s="71">
        <v>45183</v>
      </c>
      <c r="V25" s="74">
        <v>45184</v>
      </c>
      <c r="W25" s="71">
        <v>45185</v>
      </c>
      <c r="X25" s="71">
        <v>45186</v>
      </c>
      <c r="Y25" s="27"/>
      <c r="Z25" s="96"/>
      <c r="AA25" s="96"/>
      <c r="AB25" s="96"/>
    </row>
    <row r="26" spans="1:28" x14ac:dyDescent="0.25">
      <c r="A26" s="60"/>
      <c r="B26" s="74">
        <v>45124</v>
      </c>
      <c r="C26" s="71">
        <v>45125</v>
      </c>
      <c r="D26" s="71">
        <v>45126</v>
      </c>
      <c r="E26" s="71">
        <v>45127</v>
      </c>
      <c r="F26" s="71">
        <v>45128</v>
      </c>
      <c r="G26" s="75">
        <v>45129</v>
      </c>
      <c r="H26" s="76">
        <v>45130</v>
      </c>
      <c r="I26" s="72"/>
      <c r="J26" s="75">
        <v>45159</v>
      </c>
      <c r="K26" s="71">
        <v>45160</v>
      </c>
      <c r="L26" s="76">
        <v>45161</v>
      </c>
      <c r="M26" s="71">
        <v>45162</v>
      </c>
      <c r="N26" s="71">
        <v>45163</v>
      </c>
      <c r="O26" s="74">
        <v>45164</v>
      </c>
      <c r="P26" s="71">
        <v>45165</v>
      </c>
      <c r="Q26" s="72"/>
      <c r="R26" s="71">
        <v>45187</v>
      </c>
      <c r="S26" s="71">
        <v>45188</v>
      </c>
      <c r="T26" s="75">
        <v>45189</v>
      </c>
      <c r="U26" s="71">
        <v>45190</v>
      </c>
      <c r="V26" s="71">
        <v>45191</v>
      </c>
      <c r="W26" s="76">
        <v>45192</v>
      </c>
      <c r="X26" s="71">
        <v>45193</v>
      </c>
      <c r="Y26" s="27"/>
      <c r="Z26" s="96"/>
      <c r="AA26" s="96"/>
      <c r="AB26" s="96"/>
    </row>
    <row r="27" spans="1:28" x14ac:dyDescent="0.25">
      <c r="A27" s="60"/>
      <c r="B27" s="71">
        <v>45131</v>
      </c>
      <c r="C27" s="71">
        <v>45132</v>
      </c>
      <c r="D27" s="71">
        <v>45133</v>
      </c>
      <c r="E27" s="74">
        <v>45134</v>
      </c>
      <c r="F27" s="71">
        <v>45135</v>
      </c>
      <c r="G27" s="71">
        <v>45136</v>
      </c>
      <c r="H27" s="71">
        <v>45137</v>
      </c>
      <c r="I27" s="72"/>
      <c r="J27" s="71">
        <v>45166</v>
      </c>
      <c r="K27" s="71">
        <v>45167</v>
      </c>
      <c r="L27" s="71">
        <v>45168</v>
      </c>
      <c r="M27" s="74">
        <v>45169</v>
      </c>
      <c r="N27" s="70"/>
      <c r="O27" s="70"/>
      <c r="P27" s="70"/>
      <c r="Q27" s="72"/>
      <c r="R27" s="74">
        <v>45194</v>
      </c>
      <c r="S27" s="71">
        <v>45195</v>
      </c>
      <c r="T27" s="71">
        <v>45196</v>
      </c>
      <c r="U27" s="71">
        <v>45197</v>
      </c>
      <c r="V27" s="71">
        <v>45198</v>
      </c>
      <c r="W27" s="74">
        <v>45199</v>
      </c>
      <c r="X27" s="70"/>
      <c r="Y27" s="28"/>
      <c r="Z27" s="96"/>
      <c r="AA27" s="96"/>
      <c r="AB27" s="96"/>
    </row>
    <row r="28" spans="1:28" x14ac:dyDescent="0.25">
      <c r="A28" s="60"/>
      <c r="B28" s="71">
        <v>45138</v>
      </c>
      <c r="C28" s="70"/>
      <c r="D28" s="70"/>
      <c r="E28" s="70"/>
      <c r="F28" s="70"/>
      <c r="G28" s="70"/>
      <c r="H28" s="70"/>
      <c r="I28" s="72"/>
      <c r="J28" s="70"/>
      <c r="K28" s="70"/>
      <c r="L28" s="70"/>
      <c r="M28" s="70"/>
      <c r="N28" s="70"/>
      <c r="O28" s="70"/>
      <c r="P28" s="70"/>
      <c r="Q28" s="72"/>
      <c r="R28" s="70"/>
      <c r="S28" s="70"/>
      <c r="T28" s="70"/>
      <c r="U28" s="70"/>
      <c r="V28" s="70"/>
      <c r="W28" s="70"/>
      <c r="X28" s="70"/>
      <c r="Y28" s="28"/>
      <c r="Z28" s="96"/>
      <c r="AA28" s="96"/>
      <c r="AB28" s="96"/>
    </row>
    <row r="29" spans="1:28" x14ac:dyDescent="0.25">
      <c r="A29" s="60"/>
      <c r="B29" s="73"/>
      <c r="C29" s="73"/>
      <c r="D29" s="73"/>
      <c r="E29" s="73"/>
      <c r="F29" s="73"/>
      <c r="G29" s="73"/>
      <c r="H29" s="73"/>
      <c r="I29" s="72"/>
      <c r="J29" s="73"/>
      <c r="K29" s="73"/>
      <c r="L29" s="73"/>
      <c r="M29" s="73"/>
      <c r="N29" s="73"/>
      <c r="O29" s="73"/>
      <c r="P29" s="73"/>
      <c r="Q29" s="72"/>
      <c r="R29" s="73"/>
      <c r="S29" s="73"/>
      <c r="T29" s="73"/>
      <c r="U29" s="73"/>
      <c r="V29" s="73"/>
      <c r="W29" s="73"/>
      <c r="X29" s="73"/>
      <c r="Y29" s="29"/>
      <c r="Z29" s="96"/>
      <c r="AA29" s="96"/>
      <c r="AB29" s="96"/>
    </row>
    <row r="30" spans="1:28" x14ac:dyDescent="0.25">
      <c r="A30" s="60"/>
      <c r="B30" s="93" t="s">
        <v>20</v>
      </c>
      <c r="C30" s="94"/>
      <c r="D30" s="94"/>
      <c r="E30" s="94"/>
      <c r="F30" s="94"/>
      <c r="G30" s="94"/>
      <c r="H30" s="95"/>
      <c r="I30" s="60"/>
      <c r="J30" s="93" t="s">
        <v>21</v>
      </c>
      <c r="K30" s="94"/>
      <c r="L30" s="94"/>
      <c r="M30" s="94"/>
      <c r="N30" s="94"/>
      <c r="O30" s="94"/>
      <c r="P30" s="95"/>
      <c r="Q30" s="60"/>
      <c r="R30" s="93" t="s">
        <v>22</v>
      </c>
      <c r="S30" s="94"/>
      <c r="T30" s="94"/>
      <c r="U30" s="94"/>
      <c r="V30" s="94"/>
      <c r="W30" s="94"/>
      <c r="X30" s="95"/>
      <c r="Y30" s="30"/>
      <c r="Z30" s="96"/>
      <c r="AA30" s="96"/>
      <c r="AB30" s="96"/>
    </row>
    <row r="31" spans="1:28" s="20" customFormat="1" ht="15" customHeight="1" x14ac:dyDescent="0.2">
      <c r="A31" s="60"/>
      <c r="B31" s="64" t="s">
        <v>1</v>
      </c>
      <c r="C31" s="65" t="s">
        <v>2</v>
      </c>
      <c r="D31" s="65" t="s">
        <v>3</v>
      </c>
      <c r="E31" s="65" t="s">
        <v>4</v>
      </c>
      <c r="F31" s="65" t="s">
        <v>5</v>
      </c>
      <c r="G31" s="65" t="s">
        <v>6</v>
      </c>
      <c r="H31" s="66" t="s">
        <v>7</v>
      </c>
      <c r="I31" s="60"/>
      <c r="J31" s="64" t="s">
        <v>1</v>
      </c>
      <c r="K31" s="65" t="s">
        <v>2</v>
      </c>
      <c r="L31" s="65" t="s">
        <v>3</v>
      </c>
      <c r="M31" s="65" t="s">
        <v>4</v>
      </c>
      <c r="N31" s="65" t="s">
        <v>5</v>
      </c>
      <c r="O31" s="65" t="s">
        <v>6</v>
      </c>
      <c r="P31" s="66" t="s">
        <v>7</v>
      </c>
      <c r="Q31" s="60"/>
      <c r="R31" s="64" t="s">
        <v>1</v>
      </c>
      <c r="S31" s="65" t="s">
        <v>2</v>
      </c>
      <c r="T31" s="65" t="s">
        <v>3</v>
      </c>
      <c r="U31" s="65" t="s">
        <v>4</v>
      </c>
      <c r="V31" s="65" t="s">
        <v>5</v>
      </c>
      <c r="W31" s="65" t="s">
        <v>6</v>
      </c>
      <c r="X31" s="66" t="s">
        <v>7</v>
      </c>
      <c r="Y31" s="31"/>
      <c r="Z31" s="96"/>
      <c r="AA31" s="96"/>
      <c r="AB31" s="96"/>
    </row>
    <row r="32" spans="1:28" x14ac:dyDescent="0.25">
      <c r="A32" s="60"/>
      <c r="B32" s="70"/>
      <c r="C32" s="70"/>
      <c r="D32" s="70"/>
      <c r="E32" s="70"/>
      <c r="F32" s="70"/>
      <c r="G32" s="70"/>
      <c r="H32" s="71">
        <v>45200</v>
      </c>
      <c r="I32" s="72"/>
      <c r="J32" s="70"/>
      <c r="K32" s="70"/>
      <c r="L32" s="71">
        <v>45231</v>
      </c>
      <c r="M32" s="71">
        <v>45232</v>
      </c>
      <c r="N32" s="71">
        <v>45233</v>
      </c>
      <c r="O32" s="75">
        <v>45234</v>
      </c>
      <c r="P32" s="71">
        <v>45235</v>
      </c>
      <c r="Q32" s="72"/>
      <c r="R32" s="70"/>
      <c r="S32" s="70"/>
      <c r="T32" s="70"/>
      <c r="U32" s="70"/>
      <c r="V32" s="71">
        <v>45261</v>
      </c>
      <c r="W32" s="71">
        <v>45262</v>
      </c>
      <c r="X32" s="71">
        <v>45263</v>
      </c>
      <c r="Y32" s="27"/>
      <c r="Z32" s="96"/>
      <c r="AA32" s="96"/>
      <c r="AB32" s="96"/>
    </row>
    <row r="33" spans="1:28" x14ac:dyDescent="0.25">
      <c r="A33" s="60"/>
      <c r="B33" s="71">
        <v>45201</v>
      </c>
      <c r="C33" s="71">
        <v>45202</v>
      </c>
      <c r="D33" s="71">
        <v>45203</v>
      </c>
      <c r="E33" s="75">
        <v>45204</v>
      </c>
      <c r="F33" s="71">
        <v>45205</v>
      </c>
      <c r="G33" s="71">
        <v>45206</v>
      </c>
      <c r="H33" s="71">
        <v>45207</v>
      </c>
      <c r="I33" s="72"/>
      <c r="J33" s="71">
        <v>45236</v>
      </c>
      <c r="K33" s="71">
        <v>45237</v>
      </c>
      <c r="L33" s="71">
        <v>45238</v>
      </c>
      <c r="M33" s="74">
        <v>45239</v>
      </c>
      <c r="N33" s="71">
        <v>45240</v>
      </c>
      <c r="O33" s="71">
        <v>45241</v>
      </c>
      <c r="P33" s="71">
        <v>45242</v>
      </c>
      <c r="Q33" s="72"/>
      <c r="R33" s="75">
        <v>45264</v>
      </c>
      <c r="S33" s="71">
        <v>45265</v>
      </c>
      <c r="T33" s="71">
        <v>45266</v>
      </c>
      <c r="U33" s="71">
        <v>45267</v>
      </c>
      <c r="V33" s="71">
        <v>45268</v>
      </c>
      <c r="W33" s="74">
        <v>45269</v>
      </c>
      <c r="X33" s="71">
        <v>45270</v>
      </c>
      <c r="Y33" s="27"/>
      <c r="Z33" s="96"/>
      <c r="AA33" s="96"/>
      <c r="AB33" s="96"/>
    </row>
    <row r="34" spans="1:28" x14ac:dyDescent="0.25">
      <c r="A34" s="60"/>
      <c r="B34" s="71">
        <v>45208</v>
      </c>
      <c r="C34" s="74">
        <v>45209</v>
      </c>
      <c r="D34" s="71">
        <v>45210</v>
      </c>
      <c r="E34" s="71">
        <v>45211</v>
      </c>
      <c r="F34" s="71">
        <v>45212</v>
      </c>
      <c r="G34" s="71">
        <v>45213</v>
      </c>
      <c r="H34" s="74">
        <v>45214</v>
      </c>
      <c r="I34" s="72"/>
      <c r="J34" s="71">
        <v>45243</v>
      </c>
      <c r="K34" s="74">
        <v>45244</v>
      </c>
      <c r="L34" s="71">
        <v>45245</v>
      </c>
      <c r="M34" s="71">
        <v>45246</v>
      </c>
      <c r="N34" s="71">
        <v>45247</v>
      </c>
      <c r="O34" s="71">
        <v>45248</v>
      </c>
      <c r="P34" s="75">
        <v>45249</v>
      </c>
      <c r="Q34" s="72"/>
      <c r="R34" s="71">
        <v>45271</v>
      </c>
      <c r="S34" s="71">
        <v>45272</v>
      </c>
      <c r="T34" s="71">
        <v>45273</v>
      </c>
      <c r="U34" s="74">
        <v>45274</v>
      </c>
      <c r="V34" s="71">
        <v>45275</v>
      </c>
      <c r="W34" s="71">
        <v>45276</v>
      </c>
      <c r="X34" s="71">
        <v>45277</v>
      </c>
      <c r="Y34" s="27"/>
      <c r="Z34" s="96"/>
      <c r="AA34" s="96"/>
      <c r="AB34" s="96"/>
    </row>
    <row r="35" spans="1:28" x14ac:dyDescent="0.25">
      <c r="A35" s="60"/>
      <c r="B35" s="71">
        <v>45215</v>
      </c>
      <c r="C35" s="71">
        <v>45216</v>
      </c>
      <c r="D35" s="71">
        <v>45217</v>
      </c>
      <c r="E35" s="71">
        <v>45218</v>
      </c>
      <c r="F35" s="75">
        <v>45219</v>
      </c>
      <c r="G35" s="71">
        <v>45220</v>
      </c>
      <c r="H35" s="71">
        <v>45221</v>
      </c>
      <c r="I35" s="72"/>
      <c r="J35" s="71">
        <v>45250</v>
      </c>
      <c r="K35" s="71">
        <v>45251</v>
      </c>
      <c r="L35" s="71">
        <v>45252</v>
      </c>
      <c r="M35" s="76">
        <v>45253</v>
      </c>
      <c r="N35" s="74">
        <v>45254</v>
      </c>
      <c r="O35" s="71">
        <v>45255</v>
      </c>
      <c r="P35" s="71">
        <v>45256</v>
      </c>
      <c r="Q35" s="72"/>
      <c r="R35" s="71">
        <v>45278</v>
      </c>
      <c r="S35" s="75">
        <v>45279</v>
      </c>
      <c r="T35" s="71">
        <v>45280</v>
      </c>
      <c r="U35" s="71">
        <v>45281</v>
      </c>
      <c r="V35" s="71">
        <v>45282</v>
      </c>
      <c r="W35" s="76">
        <v>45283</v>
      </c>
      <c r="X35" s="74">
        <v>45284</v>
      </c>
      <c r="Y35" s="27"/>
      <c r="Z35" s="96"/>
      <c r="AA35" s="96"/>
      <c r="AB35" s="96"/>
    </row>
    <row r="36" spans="1:28" x14ac:dyDescent="0.25">
      <c r="A36" s="60"/>
      <c r="B36" s="76">
        <v>45222</v>
      </c>
      <c r="C36" s="71">
        <v>45223</v>
      </c>
      <c r="D36" s="74">
        <v>45224</v>
      </c>
      <c r="E36" s="71">
        <v>45225</v>
      </c>
      <c r="F36" s="71">
        <v>45226</v>
      </c>
      <c r="G36" s="71">
        <v>45227</v>
      </c>
      <c r="H36" s="71">
        <v>45228</v>
      </c>
      <c r="I36" s="72"/>
      <c r="J36" s="71">
        <v>45257</v>
      </c>
      <c r="K36" s="71">
        <v>45258</v>
      </c>
      <c r="L36" s="74">
        <v>45259</v>
      </c>
      <c r="M36" s="71">
        <v>45260</v>
      </c>
      <c r="N36" s="70"/>
      <c r="O36" s="70"/>
      <c r="P36" s="70"/>
      <c r="Q36" s="72"/>
      <c r="R36" s="71">
        <v>45285</v>
      </c>
      <c r="S36" s="71">
        <v>45286</v>
      </c>
      <c r="T36" s="71">
        <v>45287</v>
      </c>
      <c r="U36" s="71">
        <v>45288</v>
      </c>
      <c r="V36" s="74">
        <v>45289</v>
      </c>
      <c r="W36" s="71">
        <v>45290</v>
      </c>
      <c r="X36" s="71">
        <v>45291</v>
      </c>
      <c r="Y36" s="28"/>
      <c r="Z36" s="96"/>
      <c r="AA36" s="96"/>
      <c r="AB36" s="96"/>
    </row>
    <row r="37" spans="1:28" x14ac:dyDescent="0.25">
      <c r="A37" s="60"/>
      <c r="B37" s="74">
        <v>45229</v>
      </c>
      <c r="C37" s="71">
        <v>45230</v>
      </c>
      <c r="D37" s="70"/>
      <c r="E37" s="70"/>
      <c r="F37" s="70"/>
      <c r="G37" s="70"/>
      <c r="H37" s="70"/>
      <c r="I37" s="72"/>
      <c r="J37" s="70"/>
      <c r="K37" s="70"/>
      <c r="L37" s="70"/>
      <c r="M37" s="70"/>
      <c r="N37" s="70"/>
      <c r="O37" s="70"/>
      <c r="P37" s="70"/>
      <c r="Q37" s="72"/>
      <c r="R37" s="70"/>
      <c r="S37" s="70"/>
      <c r="T37" s="70"/>
      <c r="U37" s="70"/>
      <c r="V37" s="70"/>
      <c r="W37" s="70"/>
      <c r="X37" s="70"/>
      <c r="Y37" s="28"/>
      <c r="Z37" s="96"/>
      <c r="AA37" s="96"/>
      <c r="AB37" s="96"/>
    </row>
    <row r="38" spans="1:28" s="26" customFormat="1" x14ac:dyDescent="0.25">
      <c r="A38" s="99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  <c r="X38" s="99"/>
      <c r="Y38" s="99"/>
      <c r="Z38" s="99"/>
      <c r="AA38" s="44"/>
      <c r="AB38" s="44"/>
    </row>
  </sheetData>
  <sheetProtection algorithmName="SHA-512" hashValue="TOBIDHZYcvStqFbtNXAIoy1h1KbvXZzkFIu28XT3N4mJ4tjFX0RfOL49yajHWTGTTYcA1sUTTykv2UDHuJ575w==" saltValue="3RCm0qfe0HCntGbvqlTbiw==" spinCount="100000" sheet="1" objects="1" scenarios="1"/>
  <mergeCells count="19">
    <mergeCell ref="AB1:AB2"/>
    <mergeCell ref="A38:Z38"/>
    <mergeCell ref="Z3:AA3"/>
    <mergeCell ref="Z1:AA1"/>
    <mergeCell ref="B1:X1"/>
    <mergeCell ref="J3:P3"/>
    <mergeCell ref="R3:X3"/>
    <mergeCell ref="B21:H21"/>
    <mergeCell ref="J21:P21"/>
    <mergeCell ref="R21:X21"/>
    <mergeCell ref="B30:H30"/>
    <mergeCell ref="J30:P30"/>
    <mergeCell ref="R30:X30"/>
    <mergeCell ref="B12:H12"/>
    <mergeCell ref="J12:P12"/>
    <mergeCell ref="R12:X12"/>
    <mergeCell ref="B3:H3"/>
    <mergeCell ref="Z16:AB37"/>
    <mergeCell ref="AB5:AB15"/>
  </mergeCells>
  <conditionalFormatting sqref="R5:X10">
    <cfRule type="expression" priority="4">
      <formula>$R$5:$X$10=$AB$4</formula>
    </cfRule>
  </conditionalFormatting>
  <conditionalFormatting sqref="B14:X20 I12:I13 Q12:Q13 B23:X29 I21:I22 Q21:Q22 I30:I31 Q30:Q31 B5:X11 B32:X37">
    <cfRule type="expression" priority="3">
      <formula>$B$5:$X$37=$AB$4</formula>
    </cfRule>
  </conditionalFormatting>
  <conditionalFormatting sqref="Z4">
    <cfRule type="expression" priority="2">
      <formula>$R$5:$X$10=$AB$4</formula>
    </cfRule>
  </conditionalFormatting>
  <conditionalFormatting sqref="Z4">
    <cfRule type="expression" priority="1">
      <formula>$B$5:$X$37=$AB$4</formula>
    </cfRule>
  </conditionalFormatting>
  <pageMargins left="0.7" right="0.7" top="0.75" bottom="0.75" header="0.3" footer="0.3"/>
  <pageSetup paperSize="9" scale="30" orientation="portrait" cellComments="atEnd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XFC111"/>
  <sheetViews>
    <sheetView topLeftCell="A28" zoomScale="70" zoomScaleNormal="70" workbookViewId="0">
      <selection activeCell="B5" sqref="B5"/>
    </sheetView>
  </sheetViews>
  <sheetFormatPr defaultColWidth="0" defaultRowHeight="15" x14ac:dyDescent="0.25"/>
  <cols>
    <col min="1" max="1" width="14.85546875" style="47" bestFit="1" customWidth="1"/>
    <col min="2" max="2" width="17.28515625" style="23" bestFit="1" customWidth="1"/>
    <col min="3" max="3" width="12.140625" style="23" bestFit="1" customWidth="1"/>
    <col min="4" max="4" width="35.28515625" style="23" bestFit="1" customWidth="1"/>
    <col min="5" max="5" width="9.140625" style="24" customWidth="1"/>
    <col min="6" max="6" width="20.85546875" style="24" bestFit="1" customWidth="1"/>
    <col min="7" max="7" width="17.28515625" style="24" bestFit="1" customWidth="1"/>
    <col min="8" max="8" width="12.140625" style="24" bestFit="1" customWidth="1"/>
    <col min="9" max="9" width="28.28515625" style="23" customWidth="1"/>
    <col min="10" max="10" width="9.140625" style="24" customWidth="1"/>
    <col min="11" max="11" width="18.28515625" style="24" bestFit="1" customWidth="1"/>
    <col min="12" max="12" width="17.28515625" style="24" bestFit="1" customWidth="1"/>
    <col min="13" max="13" width="12.140625" style="24" bestFit="1" customWidth="1"/>
    <col min="14" max="14" width="28.28515625" style="23" customWidth="1"/>
    <col min="15" max="103" width="9.140625" style="3" hidden="1"/>
    <col min="104" max="104" width="7" style="3" hidden="1"/>
    <col min="105" max="16383" width="9.140625" style="3" hidden="1"/>
    <col min="16384" max="16384" width="6" style="3" hidden="1" customWidth="1"/>
  </cols>
  <sheetData>
    <row r="1" spans="1:104" x14ac:dyDescent="0.25">
      <c r="A1" s="124"/>
      <c r="B1" s="125"/>
      <c r="C1" s="125"/>
      <c r="D1" s="125"/>
      <c r="E1" s="126"/>
      <c r="F1" s="124"/>
      <c r="G1" s="124"/>
      <c r="H1" s="124"/>
      <c r="I1" s="125"/>
      <c r="J1" s="126"/>
      <c r="K1" s="124"/>
      <c r="L1" s="124"/>
      <c r="M1" s="124"/>
      <c r="N1" s="125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/>
      <c r="AC1"/>
      <c r="AD1"/>
      <c r="AE1"/>
      <c r="AF1"/>
    </row>
    <row r="2" spans="1:104" x14ac:dyDescent="0.25">
      <c r="A2" s="124"/>
      <c r="B2" s="125"/>
      <c r="C2" s="125"/>
      <c r="D2" s="125"/>
      <c r="E2" s="126"/>
      <c r="F2" s="126"/>
      <c r="G2" s="124"/>
      <c r="H2" s="124"/>
      <c r="I2" s="125"/>
      <c r="J2" s="126"/>
      <c r="K2" s="124"/>
      <c r="L2" s="124"/>
      <c r="M2" s="124"/>
      <c r="N2" s="125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/>
      <c r="AC2"/>
      <c r="AD2"/>
      <c r="AE2"/>
      <c r="AF2"/>
    </row>
    <row r="3" spans="1:104" x14ac:dyDescent="0.25">
      <c r="A3" s="128" t="s">
        <v>120</v>
      </c>
      <c r="B3" s="128" t="s">
        <v>118</v>
      </c>
      <c r="C3" s="128" t="s">
        <v>119</v>
      </c>
      <c r="D3" s="128" t="s">
        <v>122</v>
      </c>
      <c r="E3" s="129"/>
      <c r="F3" s="128" t="s">
        <v>121</v>
      </c>
      <c r="G3" s="128" t="s">
        <v>118</v>
      </c>
      <c r="H3" s="128" t="s">
        <v>119</v>
      </c>
      <c r="I3" s="128" t="s">
        <v>122</v>
      </c>
      <c r="J3" s="130"/>
      <c r="K3" s="128" t="s">
        <v>24</v>
      </c>
      <c r="L3" s="128" t="s">
        <v>118</v>
      </c>
      <c r="M3" s="128" t="s">
        <v>119</v>
      </c>
      <c r="N3" s="128" t="s">
        <v>122</v>
      </c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/>
      <c r="AC3"/>
      <c r="AD3"/>
      <c r="AE3"/>
      <c r="AF3"/>
    </row>
    <row r="4" spans="1:104" x14ac:dyDescent="0.25">
      <c r="A4" s="131">
        <v>45069</v>
      </c>
      <c r="B4" s="132" t="s">
        <v>25</v>
      </c>
      <c r="C4" s="132"/>
      <c r="D4" s="133" t="s">
        <v>130</v>
      </c>
      <c r="E4" s="134"/>
      <c r="F4" s="135">
        <v>45084</v>
      </c>
      <c r="G4" s="132"/>
      <c r="H4" s="132"/>
      <c r="I4" s="132"/>
      <c r="J4" s="132"/>
      <c r="K4" s="135">
        <v>45100</v>
      </c>
      <c r="L4" s="132"/>
      <c r="M4" s="132"/>
      <c r="N4" s="132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136"/>
      <c r="AB4" s="22"/>
      <c r="AC4" s="22"/>
      <c r="AD4" s="22"/>
      <c r="AE4" s="22"/>
      <c r="AF4" s="22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x14ac:dyDescent="0.25">
      <c r="A5" s="135">
        <v>45074</v>
      </c>
      <c r="B5" s="137"/>
      <c r="C5" s="137"/>
      <c r="D5" s="137"/>
      <c r="E5" s="134"/>
      <c r="F5" s="135">
        <v>45099</v>
      </c>
      <c r="G5" s="137"/>
      <c r="H5" s="137"/>
      <c r="I5" s="132"/>
      <c r="J5" s="132"/>
      <c r="K5" s="135">
        <v>45130</v>
      </c>
      <c r="L5" s="137"/>
      <c r="M5" s="137"/>
      <c r="N5" s="13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27"/>
      <c r="AB5"/>
      <c r="AC5"/>
      <c r="AD5"/>
      <c r="AE5"/>
      <c r="AF5"/>
    </row>
    <row r="6" spans="1:104" x14ac:dyDescent="0.25">
      <c r="A6" s="135">
        <v>45079</v>
      </c>
      <c r="B6" s="137"/>
      <c r="C6" s="137"/>
      <c r="D6" s="137"/>
      <c r="E6" s="132"/>
      <c r="F6" s="135">
        <v>45114</v>
      </c>
      <c r="G6" s="137"/>
      <c r="H6" s="137"/>
      <c r="I6" s="132"/>
      <c r="J6" s="132"/>
      <c r="K6" s="135">
        <v>45161</v>
      </c>
      <c r="L6" s="132"/>
      <c r="M6" s="137"/>
      <c r="N6" s="138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7"/>
      <c r="AA6" s="127"/>
      <c r="AB6"/>
      <c r="AC6"/>
      <c r="AD6"/>
      <c r="AE6"/>
      <c r="AF6"/>
    </row>
    <row r="7" spans="1:104" x14ac:dyDescent="0.25">
      <c r="A7" s="135">
        <v>45084</v>
      </c>
      <c r="B7" s="137"/>
      <c r="C7" s="137"/>
      <c r="D7" s="137"/>
      <c r="E7" s="132"/>
      <c r="F7" s="135">
        <v>45129</v>
      </c>
      <c r="G7" s="137"/>
      <c r="H7" s="137"/>
      <c r="I7" s="132"/>
      <c r="J7" s="132"/>
      <c r="K7" s="135">
        <v>45192</v>
      </c>
      <c r="L7" s="137"/>
      <c r="M7" s="137"/>
      <c r="N7" s="13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/>
      <c r="AC7"/>
      <c r="AD7"/>
      <c r="AE7"/>
      <c r="AF7"/>
    </row>
    <row r="8" spans="1:104" x14ac:dyDescent="0.25">
      <c r="A8" s="135">
        <v>45089</v>
      </c>
      <c r="B8" s="137"/>
      <c r="C8" s="137"/>
      <c r="D8" s="137"/>
      <c r="E8" s="132"/>
      <c r="F8" s="135">
        <v>45144</v>
      </c>
      <c r="G8" s="132"/>
      <c r="H8" s="137"/>
      <c r="I8" s="133"/>
      <c r="J8" s="132"/>
      <c r="K8" s="135">
        <v>45222</v>
      </c>
      <c r="L8" s="137"/>
      <c r="M8" s="137"/>
      <c r="N8" s="13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/>
      <c r="AC8"/>
      <c r="AD8"/>
      <c r="AE8"/>
      <c r="AF8"/>
    </row>
    <row r="9" spans="1:104" x14ac:dyDescent="0.25">
      <c r="A9" s="135">
        <v>45094</v>
      </c>
      <c r="B9" s="137"/>
      <c r="C9" s="137"/>
      <c r="D9" s="137"/>
      <c r="E9" s="132"/>
      <c r="F9" s="135">
        <v>45159</v>
      </c>
      <c r="G9" s="137"/>
      <c r="H9" s="137"/>
      <c r="I9" s="132"/>
      <c r="J9" s="132"/>
      <c r="K9" s="135">
        <v>45253</v>
      </c>
      <c r="L9" s="137"/>
      <c r="M9" s="137"/>
      <c r="N9" s="13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/>
      <c r="AC9"/>
      <c r="AD9"/>
      <c r="AE9"/>
      <c r="AF9"/>
    </row>
    <row r="10" spans="1:104" x14ac:dyDescent="0.25">
      <c r="A10" s="135">
        <v>45099</v>
      </c>
      <c r="B10" s="137"/>
      <c r="C10" s="137"/>
      <c r="D10" s="137"/>
      <c r="E10" s="132"/>
      <c r="F10" s="135">
        <v>45174</v>
      </c>
      <c r="G10" s="137"/>
      <c r="H10" s="137"/>
      <c r="I10" s="132"/>
      <c r="J10" s="132"/>
      <c r="K10" s="135">
        <v>45283</v>
      </c>
      <c r="L10" s="137"/>
      <c r="M10" s="137"/>
      <c r="N10" s="137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/>
      <c r="Z10" s="127"/>
      <c r="AA10" s="127"/>
      <c r="AB10"/>
      <c r="AC10"/>
      <c r="AD10"/>
      <c r="AE10"/>
      <c r="AF10"/>
    </row>
    <row r="11" spans="1:104" x14ac:dyDescent="0.25">
      <c r="A11" s="135">
        <v>45104</v>
      </c>
      <c r="B11" s="137"/>
      <c r="C11" s="137"/>
      <c r="D11" s="137"/>
      <c r="E11" s="132"/>
      <c r="F11" s="135">
        <v>45189</v>
      </c>
      <c r="G11" s="137"/>
      <c r="H11" s="137"/>
      <c r="I11" s="137"/>
      <c r="J11" s="132"/>
      <c r="K11" s="135"/>
      <c r="L11" s="137"/>
      <c r="M11" s="137"/>
      <c r="N11" s="137"/>
      <c r="O11" s="127"/>
      <c r="P11" s="127"/>
      <c r="Q11" s="127"/>
      <c r="R11" s="127"/>
      <c r="S11" s="127"/>
      <c r="T11" s="127"/>
      <c r="U11" s="127"/>
      <c r="V11" s="127"/>
      <c r="W11" s="127"/>
      <c r="X11" s="127"/>
      <c r="Y11" s="127"/>
      <c r="Z11" s="127"/>
      <c r="AA11" s="127"/>
      <c r="AB11"/>
      <c r="AC11"/>
      <c r="AD11"/>
      <c r="AE11"/>
      <c r="AF11"/>
    </row>
    <row r="12" spans="1:104" x14ac:dyDescent="0.25">
      <c r="A12" s="135">
        <v>45109</v>
      </c>
      <c r="B12" s="137"/>
      <c r="C12" s="137"/>
      <c r="D12" s="137"/>
      <c r="E12" s="132"/>
      <c r="F12" s="135">
        <v>45204</v>
      </c>
      <c r="G12" s="137"/>
      <c r="H12" s="137"/>
      <c r="I12" s="137"/>
      <c r="J12" s="132"/>
      <c r="K12" s="135"/>
      <c r="L12" s="137"/>
      <c r="M12" s="137"/>
      <c r="N12" s="137"/>
      <c r="O12" s="127"/>
      <c r="P12" s="127"/>
      <c r="Q12" s="127"/>
      <c r="R12" s="127"/>
      <c r="S12" s="127"/>
      <c r="T12" s="127"/>
      <c r="U12" s="127"/>
      <c r="V12" s="127"/>
      <c r="W12" s="127"/>
      <c r="X12" s="127"/>
      <c r="Y12" s="127"/>
      <c r="Z12" s="127"/>
      <c r="AA12" s="127"/>
      <c r="AB12"/>
      <c r="AC12"/>
      <c r="AD12"/>
      <c r="AE12"/>
      <c r="AF12"/>
    </row>
    <row r="13" spans="1:104" customFormat="1" x14ac:dyDescent="0.25">
      <c r="A13" s="135">
        <v>45114</v>
      </c>
      <c r="B13" s="137"/>
      <c r="C13" s="137"/>
      <c r="D13" s="137"/>
      <c r="E13" s="132"/>
      <c r="F13" s="135">
        <v>45219</v>
      </c>
      <c r="G13" s="137"/>
      <c r="H13" s="137"/>
      <c r="I13" s="137"/>
      <c r="J13" s="137"/>
      <c r="K13" s="135"/>
      <c r="L13" s="137"/>
      <c r="M13" s="137"/>
      <c r="N13" s="13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127"/>
      <c r="AA13" s="127"/>
    </row>
    <row r="14" spans="1:104" customFormat="1" x14ac:dyDescent="0.25">
      <c r="A14" s="135">
        <v>45119</v>
      </c>
      <c r="B14" s="137"/>
      <c r="C14" s="137"/>
      <c r="D14" s="137"/>
      <c r="E14" s="132"/>
      <c r="F14" s="135">
        <v>45234</v>
      </c>
      <c r="G14" s="137"/>
      <c r="H14" s="137"/>
      <c r="I14" s="137"/>
      <c r="J14" s="137"/>
      <c r="K14" s="135"/>
      <c r="L14" s="137"/>
      <c r="M14" s="137"/>
      <c r="N14" s="137"/>
      <c r="O14" s="127"/>
      <c r="P14" s="127"/>
      <c r="Q14" s="127"/>
      <c r="R14" s="127"/>
      <c r="S14" s="127"/>
      <c r="T14" s="127"/>
      <c r="U14" s="127"/>
      <c r="V14" s="127"/>
      <c r="W14" s="127"/>
      <c r="X14" s="127"/>
      <c r="Y14" s="127"/>
      <c r="Z14" s="127"/>
      <c r="AA14" s="127"/>
    </row>
    <row r="15" spans="1:104" customFormat="1" x14ac:dyDescent="0.25">
      <c r="A15" s="135">
        <v>45124</v>
      </c>
      <c r="B15" s="137"/>
      <c r="C15" s="137"/>
      <c r="D15" s="137"/>
      <c r="E15" s="132"/>
      <c r="F15" s="135">
        <v>45249</v>
      </c>
      <c r="G15" s="137"/>
      <c r="H15" s="137"/>
      <c r="I15" s="137"/>
      <c r="J15" s="137"/>
      <c r="K15" s="139"/>
      <c r="L15" s="137"/>
      <c r="M15" s="137"/>
      <c r="N15" s="137"/>
      <c r="O15" s="127"/>
      <c r="P15" s="127"/>
      <c r="Q15" s="127"/>
      <c r="R15" s="127"/>
      <c r="S15" s="127"/>
      <c r="T15" s="127"/>
      <c r="U15" s="127"/>
      <c r="V15" s="127"/>
      <c r="W15" s="127"/>
      <c r="X15" s="127"/>
      <c r="Y15" s="127"/>
      <c r="Z15" s="127"/>
      <c r="AA15" s="127"/>
    </row>
    <row r="16" spans="1:104" customFormat="1" x14ac:dyDescent="0.25">
      <c r="A16" s="135">
        <v>45129</v>
      </c>
      <c r="B16" s="137"/>
      <c r="C16" s="137"/>
      <c r="D16" s="137"/>
      <c r="E16" s="132"/>
      <c r="F16" s="135">
        <v>45264</v>
      </c>
      <c r="G16" s="137"/>
      <c r="H16" s="137"/>
      <c r="I16" s="137"/>
      <c r="J16" s="137"/>
      <c r="K16" s="139"/>
      <c r="L16" s="137"/>
      <c r="M16" s="137"/>
      <c r="N16" s="137"/>
      <c r="O16" s="127"/>
      <c r="P16" s="127"/>
      <c r="Q16" s="127"/>
      <c r="R16" s="127"/>
      <c r="S16" s="127"/>
      <c r="T16" s="127"/>
      <c r="U16" s="127"/>
      <c r="V16" s="127"/>
      <c r="W16" s="127"/>
      <c r="X16" s="127"/>
    </row>
    <row r="17" spans="1:29" customFormat="1" x14ac:dyDescent="0.25">
      <c r="A17" s="135">
        <v>45134</v>
      </c>
      <c r="B17" s="140"/>
      <c r="C17" s="137"/>
      <c r="D17" s="138"/>
      <c r="E17" s="132"/>
      <c r="F17" s="135">
        <v>45279</v>
      </c>
      <c r="G17" s="137"/>
      <c r="H17" s="137"/>
      <c r="I17" s="137"/>
      <c r="J17" s="137"/>
      <c r="K17" s="139"/>
      <c r="L17" s="137"/>
      <c r="M17" s="137"/>
      <c r="N17" s="137"/>
      <c r="O17" s="127"/>
      <c r="P17" s="127"/>
      <c r="Q17" s="127"/>
      <c r="R17" s="127"/>
      <c r="S17" s="127"/>
      <c r="T17" s="127"/>
      <c r="U17" s="127"/>
      <c r="V17" s="127"/>
      <c r="W17" s="127"/>
      <c r="X17" s="127"/>
    </row>
    <row r="18" spans="1:29" customFormat="1" x14ac:dyDescent="0.25">
      <c r="A18" s="135">
        <v>45139</v>
      </c>
      <c r="B18" s="137"/>
      <c r="C18" s="137"/>
      <c r="D18" s="137"/>
      <c r="E18" s="132"/>
      <c r="F18" s="135">
        <v>45294</v>
      </c>
      <c r="G18" s="137"/>
      <c r="H18" s="137"/>
      <c r="I18" s="137"/>
      <c r="J18" s="137"/>
      <c r="K18" s="139"/>
      <c r="L18" s="137"/>
      <c r="M18" s="137"/>
      <c r="N18" s="137"/>
      <c r="O18" s="127"/>
      <c r="P18" s="127"/>
      <c r="Q18" s="127"/>
      <c r="R18" s="127"/>
      <c r="S18" s="127"/>
      <c r="T18" s="127"/>
      <c r="U18" s="127"/>
      <c r="V18" s="127"/>
      <c r="W18" s="127"/>
      <c r="X18" s="127"/>
    </row>
    <row r="19" spans="1:29" customFormat="1" x14ac:dyDescent="0.25">
      <c r="A19" s="135">
        <v>45144</v>
      </c>
      <c r="B19" s="137"/>
      <c r="C19" s="137"/>
      <c r="D19" s="137"/>
      <c r="E19" s="137"/>
      <c r="F19" s="135"/>
      <c r="G19" s="137"/>
      <c r="H19" s="137"/>
      <c r="I19" s="137"/>
      <c r="J19" s="137"/>
      <c r="K19" s="139"/>
      <c r="L19" s="137"/>
      <c r="M19" s="137"/>
      <c r="N19" s="137"/>
      <c r="O19" s="127"/>
      <c r="P19" s="127"/>
      <c r="Q19" s="127"/>
      <c r="R19" s="127"/>
      <c r="S19" s="127"/>
      <c r="T19" s="127"/>
      <c r="U19" s="127"/>
      <c r="V19" s="127"/>
      <c r="W19" s="127"/>
      <c r="X19" s="127"/>
    </row>
    <row r="20" spans="1:29" x14ac:dyDescent="0.25">
      <c r="A20" s="135">
        <v>45149</v>
      </c>
      <c r="B20" s="137"/>
      <c r="C20" s="137"/>
      <c r="D20" s="137"/>
      <c r="E20" s="137"/>
      <c r="F20" s="135"/>
      <c r="G20" s="137"/>
      <c r="H20" s="137"/>
      <c r="I20" s="137"/>
      <c r="J20" s="137"/>
      <c r="K20" s="139"/>
      <c r="L20" s="137"/>
      <c r="M20" s="137"/>
      <c r="N20" s="13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/>
      <c r="Z20"/>
      <c r="AA20"/>
      <c r="AB20"/>
      <c r="AC20"/>
    </row>
    <row r="21" spans="1:29" x14ac:dyDescent="0.25">
      <c r="A21" s="135">
        <v>45154</v>
      </c>
      <c r="B21" s="137"/>
      <c r="C21" s="137"/>
      <c r="D21" s="137"/>
      <c r="E21" s="137"/>
      <c r="F21" s="135"/>
      <c r="G21" s="137"/>
      <c r="H21" s="137"/>
      <c r="I21" s="137"/>
      <c r="J21" s="137"/>
      <c r="K21" s="139"/>
      <c r="L21" s="137"/>
      <c r="M21" s="137"/>
      <c r="N21" s="13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/>
      <c r="Z21"/>
      <c r="AA21"/>
      <c r="AB21"/>
      <c r="AC21"/>
    </row>
    <row r="22" spans="1:29" x14ac:dyDescent="0.25">
      <c r="A22" s="135">
        <v>45159</v>
      </c>
      <c r="B22" s="137"/>
      <c r="C22" s="137"/>
      <c r="D22" s="137"/>
      <c r="E22" s="137"/>
      <c r="F22" s="135"/>
      <c r="G22" s="137"/>
      <c r="H22" s="137"/>
      <c r="I22" s="137"/>
      <c r="J22" s="137"/>
      <c r="K22" s="139"/>
      <c r="L22" s="137"/>
      <c r="M22" s="137"/>
      <c r="N22" s="137"/>
      <c r="O22" s="127"/>
      <c r="P22" s="127"/>
      <c r="Q22" s="127"/>
      <c r="R22" s="127"/>
      <c r="S22" s="127"/>
      <c r="T22" s="127"/>
      <c r="U22" s="127"/>
      <c r="V22" s="127"/>
      <c r="W22" s="127"/>
      <c r="X22" s="127"/>
      <c r="Y22"/>
      <c r="Z22"/>
      <c r="AA22"/>
      <c r="AB22"/>
      <c r="AC22"/>
    </row>
    <row r="23" spans="1:29" x14ac:dyDescent="0.25">
      <c r="A23" s="135">
        <v>45164</v>
      </c>
      <c r="B23" s="137"/>
      <c r="C23" s="137"/>
      <c r="D23" s="137"/>
      <c r="E23" s="137"/>
      <c r="F23" s="135"/>
      <c r="G23" s="137"/>
      <c r="H23" s="137"/>
      <c r="I23" s="137"/>
      <c r="J23" s="137"/>
      <c r="K23" s="139"/>
      <c r="L23" s="137"/>
      <c r="M23" s="137"/>
      <c r="N23" s="137"/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/>
      <c r="Z23"/>
      <c r="AA23"/>
      <c r="AB23"/>
      <c r="AC23"/>
    </row>
    <row r="24" spans="1:29" x14ac:dyDescent="0.25">
      <c r="A24" s="135">
        <v>45169</v>
      </c>
      <c r="B24" s="137"/>
      <c r="C24" s="137"/>
      <c r="D24" s="137"/>
      <c r="E24" s="137"/>
      <c r="F24" s="135"/>
      <c r="G24" s="137"/>
      <c r="H24" s="137"/>
      <c r="I24" s="137"/>
      <c r="J24" s="137"/>
      <c r="K24" s="139"/>
      <c r="L24" s="137"/>
      <c r="M24" s="137"/>
      <c r="N24" s="13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/>
      <c r="Z24"/>
      <c r="AA24"/>
      <c r="AB24"/>
      <c r="AC24"/>
    </row>
    <row r="25" spans="1:29" x14ac:dyDescent="0.25">
      <c r="A25" s="135">
        <v>45174</v>
      </c>
      <c r="B25" s="137"/>
      <c r="C25" s="137"/>
      <c r="D25" s="137"/>
      <c r="E25" s="137"/>
      <c r="F25" s="135"/>
      <c r="G25" s="137"/>
      <c r="H25" s="137"/>
      <c r="I25" s="137"/>
      <c r="J25" s="137"/>
      <c r="K25" s="139"/>
      <c r="L25" s="137"/>
      <c r="M25" s="137"/>
      <c r="N25" s="13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/>
      <c r="Z25"/>
      <c r="AA25"/>
      <c r="AB25"/>
      <c r="AC25"/>
    </row>
    <row r="26" spans="1:29" x14ac:dyDescent="0.25">
      <c r="A26" s="135">
        <v>45179</v>
      </c>
      <c r="B26" s="137"/>
      <c r="C26" s="137"/>
      <c r="D26" s="137"/>
      <c r="E26" s="137"/>
      <c r="F26" s="139"/>
      <c r="G26" s="137"/>
      <c r="H26" s="137"/>
      <c r="I26" s="137"/>
      <c r="J26" s="137"/>
      <c r="K26" s="139"/>
      <c r="L26" s="137"/>
      <c r="M26" s="137"/>
      <c r="N26" s="13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/>
      <c r="Z26"/>
      <c r="AA26"/>
      <c r="AB26"/>
      <c r="AC26"/>
    </row>
    <row r="27" spans="1:29" x14ac:dyDescent="0.25">
      <c r="A27" s="135">
        <v>45184</v>
      </c>
      <c r="B27" s="137"/>
      <c r="C27" s="137"/>
      <c r="D27" s="137"/>
      <c r="E27" s="137"/>
      <c r="F27" s="139"/>
      <c r="G27" s="137"/>
      <c r="H27" s="137"/>
      <c r="I27" s="137"/>
      <c r="J27" s="137"/>
      <c r="K27" s="139"/>
      <c r="L27" s="137"/>
      <c r="M27" s="137"/>
      <c r="N27" s="13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/>
      <c r="Z27"/>
      <c r="AA27"/>
      <c r="AB27"/>
      <c r="AC27"/>
    </row>
    <row r="28" spans="1:29" x14ac:dyDescent="0.25">
      <c r="A28" s="135">
        <v>45189</v>
      </c>
      <c r="B28" s="137"/>
      <c r="C28" s="137"/>
      <c r="D28" s="137"/>
      <c r="E28" s="137"/>
      <c r="F28" s="139"/>
      <c r="G28" s="137"/>
      <c r="H28" s="137"/>
      <c r="I28" s="137"/>
      <c r="J28" s="137"/>
      <c r="K28" s="139"/>
      <c r="L28" s="137"/>
      <c r="M28" s="137"/>
      <c r="N28" s="13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/>
      <c r="Z28"/>
      <c r="AA28"/>
      <c r="AB28"/>
      <c r="AC28"/>
    </row>
    <row r="29" spans="1:29" x14ac:dyDescent="0.25">
      <c r="A29" s="135">
        <v>45194</v>
      </c>
      <c r="B29" s="137"/>
      <c r="C29" s="137"/>
      <c r="D29" s="137"/>
      <c r="E29" s="137"/>
      <c r="F29" s="139"/>
      <c r="G29" s="137"/>
      <c r="H29" s="137"/>
      <c r="I29" s="137"/>
      <c r="J29" s="137"/>
      <c r="K29" s="139"/>
      <c r="L29" s="137"/>
      <c r="M29" s="137"/>
      <c r="N29" s="137"/>
      <c r="O29" s="127"/>
      <c r="P29" s="127"/>
      <c r="Q29" s="127"/>
      <c r="R29" s="127"/>
      <c r="S29" s="127"/>
      <c r="T29" s="127"/>
      <c r="U29" s="127"/>
      <c r="V29" s="127"/>
      <c r="W29" s="127"/>
      <c r="X29" s="127"/>
      <c r="Y29"/>
      <c r="Z29"/>
      <c r="AA29"/>
      <c r="AB29"/>
      <c r="AC29"/>
    </row>
    <row r="30" spans="1:29" x14ac:dyDescent="0.25">
      <c r="A30" s="135">
        <v>45199</v>
      </c>
      <c r="B30" s="137"/>
      <c r="C30" s="137"/>
      <c r="D30" s="137"/>
      <c r="E30" s="137"/>
      <c r="F30" s="139"/>
      <c r="G30" s="137"/>
      <c r="H30" s="137"/>
      <c r="I30" s="137"/>
      <c r="J30" s="137"/>
      <c r="K30" s="139"/>
      <c r="L30" s="137"/>
      <c r="M30" s="137"/>
      <c r="N30" s="13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/>
      <c r="Z30"/>
      <c r="AA30"/>
      <c r="AB30"/>
      <c r="AC30"/>
    </row>
    <row r="31" spans="1:29" x14ac:dyDescent="0.25">
      <c r="A31" s="135">
        <v>45204</v>
      </c>
      <c r="B31" s="137"/>
      <c r="C31" s="137"/>
      <c r="D31" s="137"/>
      <c r="E31" s="137"/>
      <c r="F31" s="139"/>
      <c r="G31" s="137"/>
      <c r="H31" s="137"/>
      <c r="I31" s="137"/>
      <c r="J31" s="137"/>
      <c r="K31" s="139"/>
      <c r="L31" s="137"/>
      <c r="M31" s="137"/>
      <c r="N31" s="137"/>
      <c r="O31" s="127"/>
      <c r="P31" s="127"/>
      <c r="Q31" s="127"/>
      <c r="R31" s="127"/>
      <c r="S31" s="127"/>
      <c r="T31" s="127"/>
      <c r="U31" s="127"/>
      <c r="V31" s="127"/>
      <c r="W31" s="127"/>
      <c r="X31" s="127"/>
      <c r="Y31"/>
      <c r="Z31"/>
      <c r="AA31"/>
      <c r="AB31"/>
      <c r="AC31"/>
    </row>
    <row r="32" spans="1:29" x14ac:dyDescent="0.25">
      <c r="A32" s="135">
        <v>45209</v>
      </c>
      <c r="B32" s="137"/>
      <c r="C32" s="137"/>
      <c r="D32" s="137"/>
      <c r="E32" s="137"/>
      <c r="F32" s="139"/>
      <c r="G32" s="137"/>
      <c r="H32" s="137"/>
      <c r="I32" s="137"/>
      <c r="J32" s="137"/>
      <c r="K32" s="139"/>
      <c r="L32" s="137"/>
      <c r="M32" s="137"/>
      <c r="N32" s="13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/>
      <c r="Z32"/>
      <c r="AA32"/>
      <c r="AB32"/>
      <c r="AC32"/>
    </row>
    <row r="33" spans="1:29" x14ac:dyDescent="0.25">
      <c r="A33" s="135">
        <v>45214</v>
      </c>
      <c r="B33" s="137"/>
      <c r="C33" s="137"/>
      <c r="D33" s="137"/>
      <c r="E33" s="137"/>
      <c r="F33" s="139"/>
      <c r="G33" s="137"/>
      <c r="H33" s="137"/>
      <c r="I33" s="137"/>
      <c r="J33" s="137"/>
      <c r="K33" s="139"/>
      <c r="L33" s="137"/>
      <c r="M33" s="137"/>
      <c r="N33" s="137"/>
      <c r="O33" s="127"/>
      <c r="P33" s="127"/>
      <c r="Q33" s="127"/>
      <c r="R33" s="127"/>
      <c r="S33" s="127"/>
      <c r="T33" s="127"/>
      <c r="U33" s="127"/>
      <c r="V33" s="127"/>
      <c r="W33" s="127"/>
      <c r="X33" s="127"/>
      <c r="Y33"/>
      <c r="Z33"/>
      <c r="AA33"/>
      <c r="AB33"/>
      <c r="AC33"/>
    </row>
    <row r="34" spans="1:29" x14ac:dyDescent="0.25">
      <c r="A34" s="135">
        <v>45219</v>
      </c>
      <c r="B34" s="137"/>
      <c r="C34" s="137"/>
      <c r="D34" s="137"/>
      <c r="E34" s="137"/>
      <c r="F34" s="139"/>
      <c r="G34" s="137"/>
      <c r="H34" s="137"/>
      <c r="I34" s="137"/>
      <c r="J34" s="137"/>
      <c r="K34" s="139"/>
      <c r="L34" s="137"/>
      <c r="M34" s="137"/>
      <c r="N34" s="137"/>
      <c r="O34" s="127"/>
      <c r="P34" s="127"/>
      <c r="Q34" s="127"/>
      <c r="R34" s="127"/>
      <c r="S34" s="127"/>
      <c r="T34" s="127"/>
      <c r="U34" s="127"/>
      <c r="V34" s="127"/>
      <c r="W34" s="127"/>
      <c r="X34" s="127"/>
      <c r="Y34"/>
      <c r="Z34"/>
      <c r="AA34"/>
      <c r="AB34"/>
      <c r="AC34"/>
    </row>
    <row r="35" spans="1:29" x14ac:dyDescent="0.25">
      <c r="A35" s="135">
        <v>45224</v>
      </c>
      <c r="B35" s="137"/>
      <c r="C35" s="137"/>
      <c r="D35" s="137"/>
      <c r="E35" s="137"/>
      <c r="F35" s="139"/>
      <c r="G35" s="137"/>
      <c r="H35" s="137"/>
      <c r="I35" s="137"/>
      <c r="J35" s="137"/>
      <c r="K35" s="139"/>
      <c r="L35" s="137"/>
      <c r="M35" s="137"/>
      <c r="N35" s="13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/>
      <c r="Z35"/>
      <c r="AA35"/>
      <c r="AB35"/>
      <c r="AC35"/>
    </row>
    <row r="36" spans="1:29" x14ac:dyDescent="0.25">
      <c r="A36" s="135">
        <v>45229</v>
      </c>
      <c r="B36" s="137"/>
      <c r="C36" s="137"/>
      <c r="D36" s="137"/>
      <c r="E36" s="137"/>
      <c r="F36" s="139"/>
      <c r="G36" s="137"/>
      <c r="H36" s="137"/>
      <c r="I36" s="137"/>
      <c r="J36" s="137"/>
      <c r="K36" s="139"/>
      <c r="L36" s="137"/>
      <c r="M36" s="137"/>
      <c r="N36" s="137"/>
      <c r="O36" s="127"/>
      <c r="P36" s="127"/>
      <c r="Q36" s="127"/>
      <c r="R36" s="127"/>
      <c r="S36" s="127"/>
      <c r="T36" s="127"/>
      <c r="U36" s="127"/>
      <c r="V36" s="127"/>
      <c r="W36" s="127"/>
      <c r="X36" s="127"/>
      <c r="Y36"/>
      <c r="Z36"/>
      <c r="AA36"/>
      <c r="AB36"/>
      <c r="AC36"/>
    </row>
    <row r="37" spans="1:29" x14ac:dyDescent="0.25">
      <c r="A37" s="135">
        <v>45234</v>
      </c>
      <c r="B37" s="137"/>
      <c r="C37" s="137"/>
      <c r="D37" s="137"/>
      <c r="E37" s="137"/>
      <c r="F37" s="139"/>
      <c r="G37" s="137"/>
      <c r="H37" s="137"/>
      <c r="I37" s="137"/>
      <c r="J37" s="137"/>
      <c r="K37" s="139"/>
      <c r="L37" s="137"/>
      <c r="M37" s="137"/>
      <c r="N37" s="13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/>
      <c r="Z37"/>
      <c r="AA37"/>
      <c r="AB37"/>
      <c r="AC37"/>
    </row>
    <row r="38" spans="1:29" x14ac:dyDescent="0.25">
      <c r="A38" s="122">
        <v>45239</v>
      </c>
      <c r="B38" s="21"/>
      <c r="C38" s="21"/>
      <c r="D38" s="21"/>
      <c r="E38" s="21"/>
      <c r="F38" s="123"/>
      <c r="G38" s="21"/>
      <c r="H38" s="21"/>
      <c r="I38" s="21"/>
      <c r="J38" s="21"/>
      <c r="K38" s="123"/>
      <c r="L38" s="21"/>
      <c r="M38" s="21"/>
      <c r="N38" s="21"/>
    </row>
    <row r="39" spans="1:29" x14ac:dyDescent="0.25">
      <c r="A39" s="122">
        <v>45244</v>
      </c>
      <c r="B39" s="21"/>
      <c r="C39" s="21"/>
      <c r="D39" s="21"/>
      <c r="E39" s="21"/>
      <c r="F39" s="123"/>
      <c r="G39" s="21"/>
      <c r="H39" s="21"/>
      <c r="I39" s="21"/>
      <c r="J39" s="21"/>
      <c r="K39" s="123"/>
      <c r="L39" s="21"/>
      <c r="M39" s="21"/>
      <c r="N39" s="21"/>
    </row>
    <row r="40" spans="1:29" x14ac:dyDescent="0.25">
      <c r="A40" s="122">
        <v>45249</v>
      </c>
      <c r="B40" s="21"/>
      <c r="C40" s="21"/>
      <c r="D40" s="21"/>
      <c r="E40" s="21"/>
      <c r="F40" s="123"/>
      <c r="G40" s="21"/>
      <c r="H40" s="21"/>
      <c r="I40" s="21"/>
      <c r="J40" s="21"/>
      <c r="K40" s="123"/>
      <c r="L40" s="21"/>
      <c r="M40" s="21"/>
      <c r="N40" s="21"/>
    </row>
    <row r="41" spans="1:29" x14ac:dyDescent="0.25">
      <c r="A41" s="122">
        <v>45254</v>
      </c>
      <c r="B41" s="21"/>
      <c r="C41" s="21"/>
      <c r="D41" s="21"/>
      <c r="E41" s="21"/>
      <c r="F41" s="123"/>
      <c r="G41" s="21"/>
      <c r="H41" s="21"/>
      <c r="I41" s="21"/>
      <c r="J41" s="21"/>
      <c r="K41" s="123"/>
      <c r="L41" s="21"/>
      <c r="M41" s="21"/>
      <c r="N41" s="21"/>
    </row>
    <row r="42" spans="1:29" x14ac:dyDescent="0.25">
      <c r="A42" s="122">
        <v>45259</v>
      </c>
      <c r="B42" s="21"/>
      <c r="C42" s="21"/>
      <c r="D42" s="21"/>
      <c r="E42" s="21"/>
      <c r="F42" s="123"/>
      <c r="G42" s="21"/>
      <c r="H42" s="21"/>
      <c r="I42" s="21"/>
      <c r="J42" s="21"/>
      <c r="K42" s="123"/>
      <c r="L42" s="21"/>
      <c r="M42" s="21"/>
      <c r="N42" s="21"/>
    </row>
    <row r="43" spans="1:29" x14ac:dyDescent="0.25">
      <c r="A43" s="122">
        <v>45264</v>
      </c>
      <c r="B43" s="21"/>
      <c r="C43" s="21"/>
      <c r="D43" s="21"/>
      <c r="E43" s="21"/>
      <c r="F43" s="123"/>
      <c r="G43" s="21"/>
      <c r="H43" s="21"/>
      <c r="I43" s="21"/>
      <c r="J43" s="21"/>
      <c r="K43" s="123"/>
      <c r="L43" s="21"/>
      <c r="M43" s="21"/>
      <c r="N43" s="21"/>
    </row>
    <row r="44" spans="1:29" x14ac:dyDescent="0.25">
      <c r="A44" s="122">
        <v>45269</v>
      </c>
      <c r="B44" s="21"/>
      <c r="C44" s="21"/>
      <c r="D44" s="21"/>
      <c r="E44" s="21"/>
      <c r="F44" s="123"/>
      <c r="G44" s="21"/>
      <c r="H44" s="21"/>
      <c r="I44" s="21"/>
      <c r="J44" s="21"/>
      <c r="K44" s="123"/>
      <c r="L44" s="21"/>
      <c r="M44" s="21"/>
      <c r="N44" s="21"/>
    </row>
    <row r="45" spans="1:29" x14ac:dyDescent="0.25">
      <c r="A45" s="122">
        <v>45274</v>
      </c>
      <c r="B45" s="21"/>
      <c r="C45" s="21"/>
      <c r="D45" s="21"/>
      <c r="E45" s="21"/>
      <c r="F45" s="123"/>
      <c r="G45" s="21"/>
      <c r="H45" s="21"/>
      <c r="I45" s="21"/>
      <c r="J45" s="21"/>
      <c r="K45" s="123"/>
      <c r="L45" s="21"/>
      <c r="M45" s="21"/>
      <c r="N45" s="21"/>
    </row>
    <row r="46" spans="1:29" x14ac:dyDescent="0.25">
      <c r="A46" s="122">
        <v>45279</v>
      </c>
      <c r="B46" s="21"/>
      <c r="C46" s="21"/>
      <c r="D46" s="21"/>
      <c r="E46" s="21"/>
      <c r="F46" s="123"/>
      <c r="G46" s="21"/>
      <c r="H46" s="21"/>
      <c r="I46" s="21"/>
      <c r="J46" s="21"/>
      <c r="K46" s="123"/>
      <c r="L46" s="21"/>
      <c r="M46" s="21"/>
      <c r="N46" s="21"/>
    </row>
    <row r="47" spans="1:29" x14ac:dyDescent="0.25">
      <c r="A47" s="122">
        <v>45284</v>
      </c>
      <c r="B47" s="21"/>
      <c r="C47" s="21"/>
      <c r="D47" s="21"/>
      <c r="E47" s="21"/>
      <c r="F47" s="123"/>
      <c r="G47" s="21"/>
      <c r="H47" s="21"/>
      <c r="I47" s="21"/>
      <c r="J47" s="21"/>
      <c r="K47" s="123"/>
      <c r="L47" s="21"/>
      <c r="M47" s="21"/>
      <c r="N47" s="21"/>
    </row>
    <row r="48" spans="1:29" x14ac:dyDescent="0.25">
      <c r="A48" s="122"/>
      <c r="B48" s="21"/>
      <c r="C48" s="21"/>
      <c r="D48" s="21"/>
      <c r="E48" s="21"/>
      <c r="F48" s="123"/>
      <c r="G48" s="21"/>
      <c r="H48" s="21"/>
      <c r="I48" s="21"/>
      <c r="J48" s="21"/>
      <c r="K48" s="123"/>
      <c r="L48" s="21"/>
      <c r="M48" s="21"/>
      <c r="N48" s="21"/>
    </row>
    <row r="49" spans="1:14" x14ac:dyDescent="0.25">
      <c r="A49" s="46"/>
      <c r="B49" s="21"/>
      <c r="C49" s="21"/>
      <c r="D49" s="21"/>
      <c r="E49" s="21"/>
      <c r="F49" s="123"/>
      <c r="G49" s="21"/>
      <c r="H49" s="21"/>
      <c r="I49" s="21"/>
      <c r="J49" s="21"/>
      <c r="K49" s="123"/>
      <c r="L49" s="21"/>
      <c r="M49" s="21"/>
      <c r="N49" s="21"/>
    </row>
    <row r="50" spans="1:14" x14ac:dyDescent="0.25">
      <c r="A50" s="46"/>
      <c r="B50" s="21"/>
      <c r="C50" s="21"/>
      <c r="D50" s="21"/>
      <c r="E50" s="21"/>
      <c r="F50" s="123"/>
      <c r="G50" s="21"/>
      <c r="H50" s="21"/>
      <c r="I50" s="21"/>
      <c r="J50" s="21"/>
      <c r="K50" s="123"/>
      <c r="L50" s="21"/>
      <c r="M50" s="21"/>
      <c r="N50" s="21"/>
    </row>
    <row r="51" spans="1:14" x14ac:dyDescent="0.25">
      <c r="A51" s="46"/>
      <c r="B51" s="21"/>
      <c r="C51" s="21"/>
      <c r="D51" s="21"/>
      <c r="E51" s="21"/>
      <c r="F51" s="123"/>
      <c r="G51" s="21"/>
      <c r="H51" s="21"/>
      <c r="I51" s="21"/>
      <c r="J51" s="21"/>
      <c r="K51" s="123"/>
      <c r="L51" s="21"/>
      <c r="M51" s="21"/>
      <c r="N51" s="21"/>
    </row>
    <row r="52" spans="1:14" x14ac:dyDescent="0.25">
      <c r="A52" s="46"/>
      <c r="B52" s="21"/>
      <c r="C52" s="21"/>
      <c r="D52" s="21"/>
      <c r="E52" s="21"/>
      <c r="F52" s="123"/>
      <c r="G52" s="21"/>
      <c r="H52" s="21"/>
      <c r="I52" s="21"/>
      <c r="J52" s="21"/>
      <c r="K52" s="123"/>
      <c r="L52" s="21"/>
      <c r="M52" s="21"/>
      <c r="N52" s="21"/>
    </row>
    <row r="53" spans="1:14" x14ac:dyDescent="0.25">
      <c r="A53" s="46"/>
      <c r="B53" s="21"/>
      <c r="C53" s="21"/>
      <c r="D53" s="21"/>
      <c r="E53" s="21"/>
      <c r="F53" s="123"/>
      <c r="G53" s="21"/>
      <c r="H53" s="21"/>
      <c r="I53" s="21"/>
      <c r="J53" s="21"/>
      <c r="K53" s="123"/>
      <c r="L53" s="21"/>
      <c r="M53" s="21"/>
      <c r="N53" s="21"/>
    </row>
    <row r="54" spans="1:14" x14ac:dyDescent="0.25">
      <c r="A54" s="46"/>
      <c r="B54" s="21"/>
      <c r="C54" s="21"/>
      <c r="D54" s="21"/>
      <c r="E54" s="21"/>
      <c r="F54" s="123"/>
      <c r="G54" s="21"/>
      <c r="H54" s="21"/>
      <c r="I54" s="21"/>
      <c r="J54" s="21"/>
      <c r="K54" s="123"/>
      <c r="L54" s="21"/>
      <c r="M54" s="21"/>
      <c r="N54" s="21"/>
    </row>
    <row r="55" spans="1:14" x14ac:dyDescent="0.25">
      <c r="A55" s="46"/>
      <c r="B55" s="21"/>
      <c r="C55" s="21"/>
      <c r="D55" s="21"/>
      <c r="E55" s="21"/>
      <c r="F55" s="123"/>
      <c r="G55" s="21"/>
      <c r="H55" s="21"/>
      <c r="I55" s="21"/>
      <c r="J55" s="21"/>
      <c r="K55" s="123"/>
      <c r="L55" s="21"/>
      <c r="M55" s="21"/>
      <c r="N55" s="21"/>
    </row>
    <row r="56" spans="1:14" x14ac:dyDescent="0.25">
      <c r="A56" s="46"/>
      <c r="B56" s="21"/>
      <c r="C56" s="21"/>
      <c r="D56" s="21"/>
      <c r="E56" s="21"/>
      <c r="F56" s="123"/>
      <c r="G56" s="21"/>
      <c r="H56" s="21"/>
      <c r="I56" s="21"/>
      <c r="J56" s="21"/>
      <c r="K56" s="123"/>
      <c r="L56" s="21"/>
      <c r="M56" s="21"/>
      <c r="N56" s="21"/>
    </row>
    <row r="57" spans="1:14" x14ac:dyDescent="0.25">
      <c r="A57" s="46"/>
      <c r="B57" s="21"/>
      <c r="C57" s="21"/>
      <c r="D57" s="21"/>
      <c r="E57" s="21"/>
      <c r="F57" s="123"/>
      <c r="G57" s="21"/>
      <c r="H57" s="21"/>
      <c r="I57" s="21"/>
      <c r="J57" s="21"/>
      <c r="K57" s="123"/>
      <c r="L57" s="21"/>
      <c r="M57" s="21"/>
      <c r="N57" s="21"/>
    </row>
    <row r="58" spans="1:14" x14ac:dyDescent="0.25">
      <c r="A58" s="46"/>
      <c r="B58" s="21"/>
      <c r="C58" s="21"/>
      <c r="D58" s="21"/>
      <c r="E58" s="21"/>
      <c r="F58" s="123"/>
      <c r="G58" s="21"/>
      <c r="H58" s="21"/>
      <c r="I58" s="21"/>
      <c r="J58" s="21"/>
      <c r="K58" s="123"/>
      <c r="L58" s="21"/>
      <c r="M58" s="21"/>
      <c r="N58" s="21"/>
    </row>
    <row r="59" spans="1:14" x14ac:dyDescent="0.25">
      <c r="A59" s="46"/>
      <c r="B59" s="21"/>
      <c r="C59" s="21"/>
      <c r="D59" s="21"/>
      <c r="E59" s="21"/>
      <c r="F59" s="123"/>
      <c r="G59" s="21"/>
      <c r="H59" s="21"/>
      <c r="I59" s="21"/>
      <c r="J59" s="21"/>
      <c r="K59" s="123"/>
      <c r="L59" s="21"/>
      <c r="M59" s="21"/>
      <c r="N59" s="21"/>
    </row>
    <row r="60" spans="1:14" x14ac:dyDescent="0.25">
      <c r="A60" s="46"/>
      <c r="B60" s="21"/>
      <c r="C60" s="21"/>
      <c r="D60" s="21"/>
      <c r="E60" s="21"/>
      <c r="F60" s="123"/>
      <c r="G60" s="21"/>
      <c r="H60" s="21"/>
      <c r="I60" s="21"/>
      <c r="J60" s="21"/>
      <c r="K60" s="123"/>
      <c r="L60" s="21"/>
      <c r="M60" s="21"/>
      <c r="N60" s="21"/>
    </row>
    <row r="61" spans="1:14" x14ac:dyDescent="0.25">
      <c r="A61" s="46"/>
      <c r="B61" s="21"/>
      <c r="C61" s="21"/>
      <c r="D61" s="21"/>
      <c r="E61" s="21"/>
      <c r="F61" s="123"/>
      <c r="G61" s="21"/>
      <c r="H61" s="21"/>
      <c r="I61" s="21"/>
      <c r="J61" s="21"/>
      <c r="K61" s="123"/>
      <c r="L61" s="21"/>
      <c r="M61" s="21"/>
      <c r="N61" s="21"/>
    </row>
    <row r="62" spans="1:14" x14ac:dyDescent="0.25">
      <c r="A62" s="46"/>
      <c r="B62" s="21"/>
      <c r="C62" s="21"/>
      <c r="D62" s="21"/>
      <c r="E62" s="21"/>
      <c r="F62" s="123"/>
      <c r="G62" s="21"/>
      <c r="H62" s="21"/>
      <c r="I62" s="21"/>
      <c r="J62" s="21"/>
      <c r="K62" s="123"/>
      <c r="L62" s="21"/>
      <c r="M62" s="21"/>
      <c r="N62" s="21"/>
    </row>
    <row r="63" spans="1:14" x14ac:dyDescent="0.25">
      <c r="A63" s="46"/>
      <c r="B63" s="21"/>
      <c r="C63" s="21"/>
      <c r="D63" s="21"/>
      <c r="E63" s="21"/>
      <c r="F63" s="123"/>
      <c r="G63" s="21"/>
      <c r="H63" s="21"/>
      <c r="I63" s="21"/>
      <c r="J63" s="21"/>
      <c r="K63" s="123"/>
      <c r="L63" s="21"/>
      <c r="M63" s="21"/>
      <c r="N63" s="21"/>
    </row>
    <row r="64" spans="1:14" x14ac:dyDescent="0.25">
      <c r="A64" s="46"/>
      <c r="B64" s="21"/>
      <c r="C64" s="21"/>
      <c r="D64" s="21"/>
      <c r="E64" s="21"/>
      <c r="F64" s="21"/>
      <c r="G64" s="21"/>
      <c r="H64" s="21"/>
      <c r="I64" s="21"/>
      <c r="J64" s="21"/>
      <c r="K64" s="123"/>
      <c r="L64" s="21"/>
      <c r="M64" s="21"/>
      <c r="N64" s="21"/>
    </row>
    <row r="65" spans="1:14" x14ac:dyDescent="0.25">
      <c r="A65" s="46"/>
      <c r="B65" s="21"/>
      <c r="C65" s="21"/>
      <c r="D65" s="21"/>
      <c r="E65" s="21"/>
      <c r="F65" s="21"/>
      <c r="G65" s="21"/>
      <c r="H65" s="21"/>
      <c r="I65" s="21"/>
      <c r="J65" s="21"/>
      <c r="K65" s="123"/>
      <c r="L65" s="21"/>
      <c r="M65" s="21"/>
      <c r="N65" s="21"/>
    </row>
    <row r="66" spans="1:14" x14ac:dyDescent="0.25">
      <c r="A66" s="46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</row>
    <row r="67" spans="1:14" x14ac:dyDescent="0.25">
      <c r="A67" s="46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</row>
    <row r="68" spans="1:14" x14ac:dyDescent="0.25">
      <c r="A68" s="46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</row>
    <row r="69" spans="1:14" x14ac:dyDescent="0.25">
      <c r="A69" s="46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</row>
    <row r="70" spans="1:14" x14ac:dyDescent="0.25">
      <c r="A70" s="46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</row>
    <row r="71" spans="1:14" x14ac:dyDescent="0.25">
      <c r="A71" s="46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</row>
    <row r="72" spans="1:14" x14ac:dyDescent="0.25">
      <c r="A72" s="46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</row>
    <row r="73" spans="1:14" x14ac:dyDescent="0.25">
      <c r="A73" s="46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</row>
    <row r="74" spans="1:14" x14ac:dyDescent="0.25">
      <c r="A74" s="46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</row>
    <row r="75" spans="1:14" x14ac:dyDescent="0.25">
      <c r="A75" s="46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</row>
    <row r="76" spans="1:14" x14ac:dyDescent="0.25">
      <c r="A76" s="46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</row>
    <row r="77" spans="1:14" x14ac:dyDescent="0.25">
      <c r="A77" s="46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</row>
    <row r="78" spans="1:14" x14ac:dyDescent="0.25">
      <c r="A78" s="46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</row>
    <row r="79" spans="1:14" x14ac:dyDescent="0.25">
      <c r="A79" s="46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</row>
    <row r="80" spans="1:14" x14ac:dyDescent="0.25">
      <c r="A80" s="46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</row>
    <row r="81" spans="1:14" x14ac:dyDescent="0.25">
      <c r="A81" s="46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</row>
    <row r="82" spans="1:14" x14ac:dyDescent="0.25">
      <c r="A82" s="46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</row>
    <row r="83" spans="1:14" x14ac:dyDescent="0.25">
      <c r="A83" s="46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</row>
    <row r="84" spans="1:14" x14ac:dyDescent="0.25">
      <c r="A84" s="46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</row>
    <row r="85" spans="1:14" x14ac:dyDescent="0.25">
      <c r="A85" s="46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</row>
    <row r="86" spans="1:14" x14ac:dyDescent="0.25">
      <c r="A86" s="46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</row>
    <row r="87" spans="1:14" x14ac:dyDescent="0.25">
      <c r="A87" s="46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</row>
    <row r="88" spans="1:14" x14ac:dyDescent="0.25">
      <c r="A88" s="46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</row>
    <row r="89" spans="1:14" x14ac:dyDescent="0.25">
      <c r="A89" s="46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</row>
    <row r="90" spans="1:14" x14ac:dyDescent="0.25">
      <c r="A90" s="46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</row>
    <row r="91" spans="1:14" x14ac:dyDescent="0.25">
      <c r="A91" s="46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</row>
    <row r="92" spans="1:14" x14ac:dyDescent="0.25">
      <c r="A92" s="46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</row>
    <row r="93" spans="1:14" x14ac:dyDescent="0.25">
      <c r="A93" s="46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</row>
    <row r="94" spans="1:14" x14ac:dyDescent="0.25">
      <c r="A94" s="46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</row>
    <row r="95" spans="1:14" x14ac:dyDescent="0.25">
      <c r="A95" s="46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</row>
    <row r="96" spans="1:14" x14ac:dyDescent="0.25">
      <c r="A96" s="46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</row>
    <row r="97" spans="1:14" x14ac:dyDescent="0.25">
      <c r="A97" s="46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</row>
    <row r="98" spans="1:14" x14ac:dyDescent="0.25">
      <c r="A98" s="46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</row>
    <row r="99" spans="1:14" x14ac:dyDescent="0.25">
      <c r="A99" s="46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</row>
    <row r="100" spans="1:14" x14ac:dyDescent="0.25">
      <c r="A100" s="46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</row>
    <row r="101" spans="1:14" x14ac:dyDescent="0.25">
      <c r="A101" s="46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</row>
    <row r="102" spans="1:14" x14ac:dyDescent="0.25">
      <c r="A102" s="45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</row>
    <row r="103" spans="1:14" x14ac:dyDescent="0.25">
      <c r="A103" s="45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</row>
    <row r="104" spans="1:14" x14ac:dyDescent="0.25">
      <c r="A104" s="45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</row>
    <row r="105" spans="1:14" x14ac:dyDescent="0.25">
      <c r="A105" s="45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</row>
    <row r="106" spans="1:14" x14ac:dyDescent="0.25">
      <c r="A106" s="45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</row>
    <row r="107" spans="1:14" x14ac:dyDescent="0.25">
      <c r="A107" s="45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</row>
    <row r="108" spans="1:14" x14ac:dyDescent="0.25">
      <c r="A108" s="45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</row>
    <row r="109" spans="1:14" x14ac:dyDescent="0.25">
      <c r="A109" s="45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</row>
    <row r="110" spans="1:14" x14ac:dyDescent="0.25">
      <c r="A110" s="45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</row>
    <row r="111" spans="1:14" x14ac:dyDescent="0.25">
      <c r="A111" s="45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</row>
  </sheetData>
  <sheetProtection algorithmName="SHA-512" hashValue="+F3EzjfwfmNeDfy8EfXu4AlVeiZqY6AbtQyGlAfi/V3mu9aVvZ/+mwxA4JiDIYbP3pk9XpMLE0IjG2FENRotQw==" saltValue="fYSU6zEadJtt2iPb/DBouQ==" spinCount="100000" sheet="1" objects="1" scenarios="1"/>
  <pageMargins left="0.7" right="0.7" top="0.75" bottom="0.75" header="0.3" footer="0.3"/>
  <pageSetup paperSize="9" scale="35" orientation="portrait" cellComments="atEnd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49076-2D98-43C7-8BAC-3CDB09C3E1CF}">
  <sheetPr codeName="Planilha2">
    <pageSetUpPr fitToPage="1"/>
  </sheetPr>
  <dimension ref="A1:XFC33"/>
  <sheetViews>
    <sheetView workbookViewId="0">
      <selection activeCell="A8" sqref="A8"/>
    </sheetView>
  </sheetViews>
  <sheetFormatPr defaultColWidth="0" defaultRowHeight="15" zeroHeight="1" x14ac:dyDescent="0.25"/>
  <cols>
    <col min="1" max="1" width="65.5703125" customWidth="1"/>
    <col min="2" max="2" width="44.42578125" bestFit="1" customWidth="1"/>
    <col min="3" max="3" width="19.28515625" style="39" customWidth="1"/>
    <col min="4" max="4" width="26" style="38" customWidth="1"/>
    <col min="5" max="5" width="0.85546875" customWidth="1"/>
    <col min="6" max="16383" width="9.140625" hidden="1"/>
  </cols>
  <sheetData>
    <row r="1" spans="1:4" x14ac:dyDescent="0.25">
      <c r="A1" s="48"/>
      <c r="B1" s="49"/>
      <c r="C1" s="105"/>
      <c r="D1" s="114"/>
    </row>
    <row r="2" spans="1:4" x14ac:dyDescent="0.25">
      <c r="A2" s="50"/>
      <c r="B2" s="51"/>
      <c r="C2" s="106"/>
      <c r="D2" s="115"/>
    </row>
    <row r="3" spans="1:4" x14ac:dyDescent="0.25">
      <c r="A3" s="52">
        <f>MAX('[1]Histórico de Revisões'!$F$4:$F$100)</f>
        <v>44997</v>
      </c>
      <c r="B3" s="53"/>
      <c r="C3" s="106"/>
      <c r="D3" s="115"/>
    </row>
    <row r="4" spans="1:4" x14ac:dyDescent="0.25">
      <c r="A4" s="54" t="str">
        <f>INDEX('[1]Histórico de Revisões'!$B$4:$B$100,MATCH(REPT("z",255),'[1]Histórico de Revisões'!$B$4:$B$100))</f>
        <v>Rev.1</v>
      </c>
      <c r="B4" s="55"/>
      <c r="C4" s="107"/>
      <c r="D4" s="116"/>
    </row>
    <row r="5" spans="1:4" x14ac:dyDescent="0.25">
      <c r="A5" s="9" t="s">
        <v>128</v>
      </c>
      <c r="B5" s="108" t="s">
        <v>123</v>
      </c>
      <c r="C5" s="108"/>
      <c r="D5" s="109" t="s">
        <v>129</v>
      </c>
    </row>
    <row r="6" spans="1:4" x14ac:dyDescent="0.25">
      <c r="A6" s="111" t="s">
        <v>59</v>
      </c>
      <c r="B6" s="112"/>
      <c r="C6" s="113"/>
      <c r="D6" s="110"/>
    </row>
    <row r="7" spans="1:4" x14ac:dyDescent="0.25">
      <c r="A7" s="56" t="s">
        <v>60</v>
      </c>
      <c r="B7" s="57" t="s">
        <v>61</v>
      </c>
      <c r="C7" s="58" t="s">
        <v>62</v>
      </c>
      <c r="D7" s="57" t="s">
        <v>63</v>
      </c>
    </row>
    <row r="8" spans="1:4" ht="15.75" x14ac:dyDescent="0.25">
      <c r="A8" s="5" t="s">
        <v>26</v>
      </c>
      <c r="B8" s="37" t="s">
        <v>51</v>
      </c>
      <c r="D8" s="104"/>
    </row>
    <row r="9" spans="1:4" ht="15.75" x14ac:dyDescent="0.25">
      <c r="A9" s="5" t="s">
        <v>27</v>
      </c>
      <c r="B9" s="37" t="s">
        <v>51</v>
      </c>
      <c r="D9" s="104"/>
    </row>
    <row r="10" spans="1:4" ht="15.75" x14ac:dyDescent="0.25">
      <c r="A10" s="5" t="s">
        <v>28</v>
      </c>
      <c r="B10" s="37" t="s">
        <v>51</v>
      </c>
      <c r="D10" s="104"/>
    </row>
    <row r="11" spans="1:4" ht="15.75" x14ac:dyDescent="0.25">
      <c r="A11" s="5" t="s">
        <v>29</v>
      </c>
      <c r="B11" s="37" t="s">
        <v>51</v>
      </c>
      <c r="D11" s="104"/>
    </row>
    <row r="12" spans="1:4" ht="15.75" x14ac:dyDescent="0.25">
      <c r="A12" s="5" t="s">
        <v>30</v>
      </c>
      <c r="B12" s="37" t="s">
        <v>52</v>
      </c>
      <c r="D12" s="104"/>
    </row>
    <row r="13" spans="1:4" ht="15.75" x14ac:dyDescent="0.25">
      <c r="A13" s="6" t="s">
        <v>31</v>
      </c>
      <c r="B13" s="37" t="s">
        <v>53</v>
      </c>
      <c r="D13" s="104"/>
    </row>
    <row r="14" spans="1:4" ht="15.75" x14ac:dyDescent="0.25">
      <c r="A14" s="6" t="s">
        <v>32</v>
      </c>
      <c r="B14" s="37" t="s">
        <v>54</v>
      </c>
      <c r="D14" s="104"/>
    </row>
    <row r="15" spans="1:4" ht="15.75" x14ac:dyDescent="0.25">
      <c r="A15" s="7" t="s">
        <v>33</v>
      </c>
      <c r="B15" s="37" t="s">
        <v>55</v>
      </c>
      <c r="D15" s="104"/>
    </row>
    <row r="16" spans="1:4" ht="15.75" x14ac:dyDescent="0.25">
      <c r="A16" s="6" t="s">
        <v>34</v>
      </c>
      <c r="B16" s="37" t="s">
        <v>56</v>
      </c>
      <c r="D16" s="104"/>
    </row>
    <row r="17" spans="1:4" ht="15.75" x14ac:dyDescent="0.25">
      <c r="A17" s="5" t="s">
        <v>35</v>
      </c>
      <c r="B17" s="37" t="s">
        <v>51</v>
      </c>
      <c r="D17" s="104"/>
    </row>
    <row r="18" spans="1:4" ht="15.75" x14ac:dyDescent="0.25">
      <c r="A18" s="5" t="s">
        <v>36</v>
      </c>
      <c r="B18" s="37" t="s">
        <v>51</v>
      </c>
      <c r="D18" s="104"/>
    </row>
    <row r="19" spans="1:4" ht="15.75" x14ac:dyDescent="0.25">
      <c r="A19" s="5" t="s">
        <v>37</v>
      </c>
      <c r="B19" s="37" t="s">
        <v>51</v>
      </c>
      <c r="D19" s="104"/>
    </row>
    <row r="20" spans="1:4" ht="15.75" x14ac:dyDescent="0.25">
      <c r="A20" s="5" t="s">
        <v>38</v>
      </c>
      <c r="B20" s="37" t="s">
        <v>51</v>
      </c>
      <c r="D20" s="104"/>
    </row>
    <row r="21" spans="1:4" ht="15.75" x14ac:dyDescent="0.25">
      <c r="A21" s="5" t="s">
        <v>39</v>
      </c>
      <c r="B21" s="37" t="s">
        <v>51</v>
      </c>
      <c r="D21" s="104"/>
    </row>
    <row r="22" spans="1:4" ht="15.75" x14ac:dyDescent="0.25">
      <c r="A22" s="5" t="s">
        <v>40</v>
      </c>
      <c r="B22" s="37" t="s">
        <v>51</v>
      </c>
      <c r="D22" s="104"/>
    </row>
    <row r="23" spans="1:4" ht="15.75" x14ac:dyDescent="0.25">
      <c r="A23" s="5" t="s">
        <v>41</v>
      </c>
      <c r="B23" s="37" t="s">
        <v>51</v>
      </c>
      <c r="D23" s="104"/>
    </row>
    <row r="24" spans="1:4" ht="15.75" x14ac:dyDescent="0.25">
      <c r="A24" s="5" t="s">
        <v>42</v>
      </c>
      <c r="B24" s="37" t="s">
        <v>51</v>
      </c>
      <c r="D24" s="104"/>
    </row>
    <row r="25" spans="1:4" ht="15.75" x14ac:dyDescent="0.25">
      <c r="A25" s="5" t="s">
        <v>43</v>
      </c>
      <c r="B25" s="37" t="s">
        <v>51</v>
      </c>
      <c r="D25" s="104"/>
    </row>
    <row r="26" spans="1:4" ht="15.75" x14ac:dyDescent="0.25">
      <c r="A26" s="5" t="s">
        <v>44</v>
      </c>
      <c r="B26" s="37" t="s">
        <v>51</v>
      </c>
      <c r="D26" s="104"/>
    </row>
    <row r="27" spans="1:4" ht="15.75" x14ac:dyDescent="0.25">
      <c r="A27" s="5" t="s">
        <v>45</v>
      </c>
      <c r="B27" s="37" t="s">
        <v>55</v>
      </c>
      <c r="D27" s="104"/>
    </row>
    <row r="28" spans="1:4" ht="15.75" x14ac:dyDescent="0.25">
      <c r="A28" s="5" t="s">
        <v>46</v>
      </c>
      <c r="B28" s="37" t="s">
        <v>55</v>
      </c>
      <c r="D28" s="104"/>
    </row>
    <row r="29" spans="1:4" ht="15.75" x14ac:dyDescent="0.25">
      <c r="A29" s="5" t="s">
        <v>47</v>
      </c>
      <c r="B29" s="37" t="s">
        <v>57</v>
      </c>
      <c r="D29" s="104"/>
    </row>
    <row r="30" spans="1:4" ht="15.75" x14ac:dyDescent="0.25">
      <c r="A30" s="5" t="s">
        <v>48</v>
      </c>
      <c r="B30" s="37" t="s">
        <v>57</v>
      </c>
      <c r="D30" s="104"/>
    </row>
    <row r="31" spans="1:4" ht="30.75" x14ac:dyDescent="0.25">
      <c r="A31" s="8" t="s">
        <v>49</v>
      </c>
      <c r="B31" s="37" t="s">
        <v>55</v>
      </c>
      <c r="D31" s="104"/>
    </row>
    <row r="32" spans="1:4" ht="30.75" x14ac:dyDescent="0.25">
      <c r="A32" s="8" t="s">
        <v>50</v>
      </c>
      <c r="B32" s="37" t="s">
        <v>55</v>
      </c>
      <c r="D32" s="104"/>
    </row>
    <row r="33" spans="3:4" hidden="1" x14ac:dyDescent="0.25">
      <c r="C33" s="39" t="s">
        <v>127</v>
      </c>
      <c r="D33" s="38" t="s">
        <v>126</v>
      </c>
    </row>
  </sheetData>
  <mergeCells count="7">
    <mergeCell ref="D8:D32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56" orientation="portrait" cellComments="atEn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6DD74-ED8D-4B24-8749-0C255EA6BE59}">
  <sheetPr codeName="Planilha3">
    <pageSetUpPr fitToPage="1"/>
  </sheetPr>
  <dimension ref="A1:D33"/>
  <sheetViews>
    <sheetView zoomScale="90" zoomScaleNormal="90" workbookViewId="0">
      <selection activeCell="A7" sqref="A7:D7"/>
    </sheetView>
  </sheetViews>
  <sheetFormatPr defaultColWidth="9.140625" defaultRowHeight="15" zeroHeight="1" x14ac:dyDescent="0.25"/>
  <cols>
    <col min="1" max="1" width="39" bestFit="1" customWidth="1"/>
    <col min="2" max="2" width="39.5703125" customWidth="1"/>
    <col min="3" max="3" width="14.7109375" customWidth="1"/>
    <col min="4" max="4" width="35.85546875" style="10" customWidth="1"/>
    <col min="5" max="16383" width="0" hidden="1" customWidth="1"/>
  </cols>
  <sheetData>
    <row r="1" spans="1:4" x14ac:dyDescent="0.25">
      <c r="A1" s="48"/>
      <c r="B1" s="49"/>
      <c r="C1" s="105"/>
      <c r="D1" s="114"/>
    </row>
    <row r="2" spans="1:4" x14ac:dyDescent="0.25">
      <c r="A2" s="50"/>
      <c r="B2" s="51"/>
      <c r="C2" s="106"/>
      <c r="D2" s="115"/>
    </row>
    <row r="3" spans="1:4" x14ac:dyDescent="0.25">
      <c r="A3" s="52">
        <f>MAX('[1]Histórico de Revisões'!$F$4:$F$100)</f>
        <v>44997</v>
      </c>
      <c r="B3" s="53"/>
      <c r="C3" s="106"/>
      <c r="D3" s="115"/>
    </row>
    <row r="4" spans="1:4" x14ac:dyDescent="0.25">
      <c r="A4" s="54" t="str">
        <f>INDEX('[1]Histórico de Revisões'!$B$4:$B$100,MATCH(REPT("z",255),'[1]Histórico de Revisões'!$B$4:$B$100))</f>
        <v>Rev.1</v>
      </c>
      <c r="B4" s="55"/>
      <c r="C4" s="107"/>
      <c r="D4" s="116"/>
    </row>
    <row r="5" spans="1:4" x14ac:dyDescent="0.25">
      <c r="A5" s="9" t="s">
        <v>58</v>
      </c>
      <c r="B5" s="108" t="s">
        <v>123</v>
      </c>
      <c r="C5" s="108"/>
      <c r="D5" s="120" t="s">
        <v>124</v>
      </c>
    </row>
    <row r="6" spans="1:4" x14ac:dyDescent="0.25">
      <c r="A6" s="111" t="s">
        <v>59</v>
      </c>
      <c r="B6" s="112"/>
      <c r="C6" s="113"/>
      <c r="D6" s="110"/>
    </row>
    <row r="7" spans="1:4" x14ac:dyDescent="0.25">
      <c r="A7" s="56" t="s">
        <v>60</v>
      </c>
      <c r="B7" s="57" t="s">
        <v>61</v>
      </c>
      <c r="C7" s="58" t="s">
        <v>62</v>
      </c>
      <c r="D7" s="57" t="s">
        <v>63</v>
      </c>
    </row>
    <row r="8" spans="1:4" x14ac:dyDescent="0.25">
      <c r="A8" s="11" t="s">
        <v>64</v>
      </c>
      <c r="B8" s="11" t="s">
        <v>65</v>
      </c>
      <c r="C8" s="40"/>
      <c r="D8" s="117"/>
    </row>
    <row r="9" spans="1:4" x14ac:dyDescent="0.25">
      <c r="A9" s="11" t="s">
        <v>66</v>
      </c>
      <c r="B9" s="11" t="s">
        <v>65</v>
      </c>
      <c r="C9" s="40"/>
      <c r="D9" s="118"/>
    </row>
    <row r="10" spans="1:4" x14ac:dyDescent="0.25">
      <c r="A10" s="11" t="s">
        <v>67</v>
      </c>
      <c r="B10" s="11" t="s">
        <v>65</v>
      </c>
      <c r="C10" s="40"/>
      <c r="D10" s="118"/>
    </row>
    <row r="11" spans="1:4" x14ac:dyDescent="0.25">
      <c r="A11" s="11" t="s">
        <v>68</v>
      </c>
      <c r="B11" s="11" t="s">
        <v>65</v>
      </c>
      <c r="C11" s="40"/>
      <c r="D11" s="118"/>
    </row>
    <row r="12" spans="1:4" x14ac:dyDescent="0.25">
      <c r="A12" s="11" t="s">
        <v>69</v>
      </c>
      <c r="B12" s="11" t="s">
        <v>65</v>
      </c>
      <c r="C12" s="40"/>
      <c r="D12" s="118"/>
    </row>
    <row r="13" spans="1:4" x14ac:dyDescent="0.25">
      <c r="A13" s="12" t="s">
        <v>70</v>
      </c>
      <c r="B13" s="11" t="s">
        <v>65</v>
      </c>
      <c r="C13" s="40"/>
      <c r="D13" s="118"/>
    </row>
    <row r="14" spans="1:4" x14ac:dyDescent="0.25">
      <c r="A14" s="12" t="s">
        <v>71</v>
      </c>
      <c r="B14" s="11" t="s">
        <v>65</v>
      </c>
      <c r="C14" s="41"/>
      <c r="D14" s="118"/>
    </row>
    <row r="15" spans="1:4" x14ac:dyDescent="0.25">
      <c r="A15" s="13" t="s">
        <v>72</v>
      </c>
      <c r="B15" s="11" t="s">
        <v>65</v>
      </c>
      <c r="C15" s="42"/>
      <c r="D15" s="118"/>
    </row>
    <row r="16" spans="1:4" x14ac:dyDescent="0.25">
      <c r="A16" s="12" t="s">
        <v>73</v>
      </c>
      <c r="B16" s="11" t="s">
        <v>65</v>
      </c>
      <c r="C16" s="43"/>
      <c r="D16" s="118"/>
    </row>
    <row r="17" spans="1:4" x14ac:dyDescent="0.25">
      <c r="A17" s="11" t="s">
        <v>74</v>
      </c>
      <c r="B17" s="11" t="s">
        <v>65</v>
      </c>
      <c r="C17" s="43"/>
      <c r="D17" s="118"/>
    </row>
    <row r="18" spans="1:4" x14ac:dyDescent="0.25">
      <c r="A18" s="11" t="s">
        <v>75</v>
      </c>
      <c r="B18" s="11" t="s">
        <v>65</v>
      </c>
      <c r="C18" s="43"/>
      <c r="D18" s="118"/>
    </row>
    <row r="19" spans="1:4" x14ac:dyDescent="0.25">
      <c r="A19" s="11" t="s">
        <v>76</v>
      </c>
      <c r="B19" s="11" t="s">
        <v>65</v>
      </c>
      <c r="C19" s="43"/>
      <c r="D19" s="118"/>
    </row>
    <row r="20" spans="1:4" x14ac:dyDescent="0.25">
      <c r="A20" s="11" t="s">
        <v>77</v>
      </c>
      <c r="B20" s="11" t="s">
        <v>55</v>
      </c>
      <c r="C20" s="43"/>
      <c r="D20" s="118"/>
    </row>
    <row r="21" spans="1:4" ht="76.5" customHeight="1" x14ac:dyDescent="0.25">
      <c r="A21" s="11" t="s">
        <v>78</v>
      </c>
      <c r="B21" s="14" t="s">
        <v>79</v>
      </c>
      <c r="C21" s="43"/>
      <c r="D21" s="118"/>
    </row>
    <row r="22" spans="1:4" ht="78" customHeight="1" x14ac:dyDescent="0.25">
      <c r="A22" s="11" t="s">
        <v>80</v>
      </c>
      <c r="B22" s="14" t="s">
        <v>81</v>
      </c>
      <c r="C22" s="43"/>
      <c r="D22" s="118"/>
    </row>
    <row r="23" spans="1:4" x14ac:dyDescent="0.25">
      <c r="A23" s="11" t="s">
        <v>82</v>
      </c>
      <c r="B23" s="11" t="s">
        <v>51</v>
      </c>
      <c r="C23" s="43"/>
      <c r="D23" s="118"/>
    </row>
    <row r="24" spans="1:4" x14ac:dyDescent="0.25">
      <c r="A24" s="11" t="s">
        <v>83</v>
      </c>
      <c r="B24" s="11" t="s">
        <v>51</v>
      </c>
      <c r="C24" s="43"/>
      <c r="D24" s="118"/>
    </row>
    <row r="25" spans="1:4" x14ac:dyDescent="0.25">
      <c r="A25" s="11" t="s">
        <v>84</v>
      </c>
      <c r="B25" s="11" t="s">
        <v>51</v>
      </c>
      <c r="C25" s="43"/>
      <c r="D25" s="118"/>
    </row>
    <row r="26" spans="1:4" x14ac:dyDescent="0.25">
      <c r="A26" s="11" t="s">
        <v>85</v>
      </c>
      <c r="B26" s="11" t="s">
        <v>51</v>
      </c>
      <c r="C26" s="43"/>
      <c r="D26" s="118"/>
    </row>
    <row r="27" spans="1:4" x14ac:dyDescent="0.25">
      <c r="A27" s="11" t="s">
        <v>86</v>
      </c>
      <c r="B27" s="11" t="s">
        <v>51</v>
      </c>
      <c r="C27" s="43"/>
      <c r="D27" s="118"/>
    </row>
    <row r="28" spans="1:4" x14ac:dyDescent="0.25">
      <c r="A28" s="11" t="s">
        <v>87</v>
      </c>
      <c r="B28" s="11" t="s">
        <v>51</v>
      </c>
      <c r="C28" s="43"/>
      <c r="D28" s="118"/>
    </row>
    <row r="29" spans="1:4" x14ac:dyDescent="0.25">
      <c r="A29" s="11" t="s">
        <v>88</v>
      </c>
      <c r="B29" s="11" t="s">
        <v>51</v>
      </c>
      <c r="C29" s="43"/>
      <c r="D29" s="118"/>
    </row>
    <row r="30" spans="1:4" x14ac:dyDescent="0.25">
      <c r="A30" s="11" t="s">
        <v>89</v>
      </c>
      <c r="B30" s="11" t="s">
        <v>51</v>
      </c>
      <c r="C30" s="43"/>
      <c r="D30" s="118"/>
    </row>
    <row r="31" spans="1:4" ht="17.25" customHeight="1" x14ac:dyDescent="0.25">
      <c r="A31" s="14" t="s">
        <v>90</v>
      </c>
      <c r="B31" s="11" t="s">
        <v>55</v>
      </c>
      <c r="C31" s="43"/>
      <c r="D31" s="118"/>
    </row>
    <row r="32" spans="1:4" ht="18.75" customHeight="1" x14ac:dyDescent="0.25">
      <c r="A32" s="14" t="s">
        <v>91</v>
      </c>
      <c r="B32" s="11" t="s">
        <v>55</v>
      </c>
      <c r="C32" s="43"/>
      <c r="D32" s="118"/>
    </row>
    <row r="33" spans="1:4" ht="36" customHeight="1" x14ac:dyDescent="0.25">
      <c r="A33" s="14" t="s">
        <v>92</v>
      </c>
      <c r="B33" s="11" t="s">
        <v>55</v>
      </c>
      <c r="C33" s="43"/>
      <c r="D33" s="119"/>
    </row>
  </sheetData>
  <mergeCells count="7">
    <mergeCell ref="D8:D33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67" orientation="portrait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34998-7B9E-424B-8FE4-5A228C4F0357}">
  <sheetPr codeName="Planilha4">
    <pageSetUpPr fitToPage="1"/>
  </sheetPr>
  <dimension ref="A1:D33"/>
  <sheetViews>
    <sheetView zoomScale="90" zoomScaleNormal="90" workbookViewId="0">
      <selection activeCell="A7" sqref="A7:D7"/>
    </sheetView>
  </sheetViews>
  <sheetFormatPr defaultColWidth="9.140625" defaultRowHeight="0" customHeight="1" zeroHeight="1" x14ac:dyDescent="0.25"/>
  <cols>
    <col min="1" max="1" width="39" bestFit="1" customWidth="1"/>
    <col min="2" max="2" width="39.5703125" customWidth="1"/>
    <col min="3" max="3" width="14.7109375" style="25" customWidth="1"/>
    <col min="4" max="4" width="35.42578125" style="121" customWidth="1"/>
    <col min="5" max="16383" width="0" hidden="1" customWidth="1"/>
  </cols>
  <sheetData>
    <row r="1" spans="1:4" ht="15" x14ac:dyDescent="0.25">
      <c r="A1" s="48"/>
      <c r="B1" s="49"/>
      <c r="C1" s="105"/>
      <c r="D1" s="114"/>
    </row>
    <row r="2" spans="1:4" ht="15" x14ac:dyDescent="0.25">
      <c r="A2" s="50"/>
      <c r="B2" s="51"/>
      <c r="C2" s="106"/>
      <c r="D2" s="115"/>
    </row>
    <row r="3" spans="1:4" ht="15" x14ac:dyDescent="0.25">
      <c r="A3" s="52">
        <f>MAX('[1]Histórico de Revisões'!$F$4:$F$100)</f>
        <v>44997</v>
      </c>
      <c r="B3" s="53"/>
      <c r="C3" s="106"/>
      <c r="D3" s="115"/>
    </row>
    <row r="4" spans="1:4" ht="15" x14ac:dyDescent="0.25">
      <c r="A4" s="54" t="str">
        <f>INDEX('[1]Histórico de Revisões'!$B$4:$B$100,MATCH(REPT("z",255),'[1]Histórico de Revisões'!$B$4:$B$100))</f>
        <v>Rev.1</v>
      </c>
      <c r="B4" s="55"/>
      <c r="C4" s="107"/>
      <c r="D4" s="116"/>
    </row>
    <row r="5" spans="1:4" ht="15" x14ac:dyDescent="0.25">
      <c r="A5" s="9" t="s">
        <v>128</v>
      </c>
      <c r="B5" s="108" t="s">
        <v>125</v>
      </c>
      <c r="C5" s="108"/>
      <c r="D5" s="120" t="s">
        <v>129</v>
      </c>
    </row>
    <row r="6" spans="1:4" ht="15" x14ac:dyDescent="0.25">
      <c r="A6" s="111" t="s">
        <v>59</v>
      </c>
      <c r="B6" s="112"/>
      <c r="C6" s="113"/>
      <c r="D6" s="110"/>
    </row>
    <row r="7" spans="1:4" ht="15" x14ac:dyDescent="0.25">
      <c r="A7" s="56" t="s">
        <v>60</v>
      </c>
      <c r="B7" s="57" t="s">
        <v>61</v>
      </c>
      <c r="C7" s="58" t="s">
        <v>62</v>
      </c>
      <c r="D7" s="57" t="s">
        <v>63</v>
      </c>
    </row>
    <row r="8" spans="1:4" ht="15" x14ac:dyDescent="0.25">
      <c r="A8" s="15" t="s">
        <v>93</v>
      </c>
      <c r="B8" s="32" t="s">
        <v>106</v>
      </c>
    </row>
    <row r="9" spans="1:4" ht="26.25" x14ac:dyDescent="0.25">
      <c r="A9" s="15" t="s">
        <v>94</v>
      </c>
      <c r="B9" s="33" t="s">
        <v>107</v>
      </c>
      <c r="C9" s="10"/>
    </row>
    <row r="10" spans="1:4" ht="26.25" x14ac:dyDescent="0.25">
      <c r="A10" s="15" t="s">
        <v>95</v>
      </c>
      <c r="B10" s="33" t="s">
        <v>107</v>
      </c>
      <c r="C10" s="10"/>
    </row>
    <row r="11" spans="1:4" ht="15" x14ac:dyDescent="0.25">
      <c r="A11" s="15" t="s">
        <v>96</v>
      </c>
      <c r="B11" s="32" t="s">
        <v>51</v>
      </c>
      <c r="C11" s="10"/>
    </row>
    <row r="12" spans="1:4" ht="15" x14ac:dyDescent="0.25">
      <c r="A12" s="16" t="s">
        <v>97</v>
      </c>
      <c r="B12" s="32" t="s">
        <v>51</v>
      </c>
      <c r="C12" s="10"/>
    </row>
    <row r="13" spans="1:4" ht="15" x14ac:dyDescent="0.25">
      <c r="A13" s="17" t="s">
        <v>98</v>
      </c>
      <c r="B13" s="32" t="s">
        <v>65</v>
      </c>
      <c r="C13" s="10"/>
    </row>
    <row r="14" spans="1:4" ht="15" x14ac:dyDescent="0.25">
      <c r="A14" s="15" t="s">
        <v>99</v>
      </c>
      <c r="B14" s="32" t="s">
        <v>108</v>
      </c>
      <c r="C14" s="10"/>
    </row>
    <row r="15" spans="1:4" ht="15" x14ac:dyDescent="0.25">
      <c r="A15" s="15" t="s">
        <v>100</v>
      </c>
      <c r="B15" s="32" t="s">
        <v>51</v>
      </c>
      <c r="C15" s="10"/>
    </row>
    <row r="16" spans="1:4" ht="15" x14ac:dyDescent="0.25">
      <c r="A16" s="15" t="s">
        <v>101</v>
      </c>
      <c r="B16" s="32" t="s">
        <v>109</v>
      </c>
      <c r="C16" s="10"/>
    </row>
    <row r="17" spans="1:3" ht="39" x14ac:dyDescent="0.25">
      <c r="A17" s="18" t="s">
        <v>102</v>
      </c>
      <c r="B17" s="33" t="s">
        <v>110</v>
      </c>
      <c r="C17" s="10"/>
    </row>
    <row r="18" spans="1:3" ht="26.25" x14ac:dyDescent="0.25">
      <c r="A18" s="19" t="s">
        <v>103</v>
      </c>
      <c r="B18" s="33" t="s">
        <v>111</v>
      </c>
      <c r="C18" s="10"/>
    </row>
    <row r="19" spans="1:3" ht="15" x14ac:dyDescent="0.25">
      <c r="A19" s="15" t="s">
        <v>104</v>
      </c>
      <c r="B19" s="32" t="s">
        <v>112</v>
      </c>
      <c r="C19" s="10"/>
    </row>
    <row r="20" spans="1:3" ht="26.25" x14ac:dyDescent="0.25">
      <c r="A20" s="15" t="s">
        <v>105</v>
      </c>
      <c r="B20" s="33" t="s">
        <v>113</v>
      </c>
      <c r="C20" s="10"/>
    </row>
    <row r="21" spans="1:3" ht="76.5" hidden="1" customHeight="1" x14ac:dyDescent="0.25">
      <c r="A21" s="11"/>
      <c r="B21" s="34"/>
    </row>
    <row r="22" spans="1:3" ht="78" hidden="1" customHeight="1" x14ac:dyDescent="0.25">
      <c r="A22" s="11"/>
      <c r="B22" s="34"/>
    </row>
    <row r="23" spans="1:3" ht="15" hidden="1" customHeight="1" x14ac:dyDescent="0.25">
      <c r="A23" s="11"/>
      <c r="B23" s="35"/>
    </row>
    <row r="24" spans="1:3" ht="15" hidden="1" customHeight="1" x14ac:dyDescent="0.25">
      <c r="A24" s="11"/>
      <c r="B24" s="35"/>
    </row>
    <row r="25" spans="1:3" ht="15" hidden="1" customHeight="1" x14ac:dyDescent="0.25">
      <c r="A25" s="11"/>
      <c r="B25" s="35"/>
    </row>
    <row r="26" spans="1:3" ht="15" hidden="1" customHeight="1" x14ac:dyDescent="0.25">
      <c r="A26" s="11"/>
      <c r="B26" s="35"/>
    </row>
    <row r="27" spans="1:3" ht="15" hidden="1" customHeight="1" x14ac:dyDescent="0.25">
      <c r="A27" s="11"/>
      <c r="B27" s="35"/>
    </row>
    <row r="28" spans="1:3" ht="15" hidden="1" customHeight="1" x14ac:dyDescent="0.25">
      <c r="A28" s="11"/>
      <c r="B28" s="35"/>
      <c r="C28" s="36"/>
    </row>
    <row r="29" spans="1:3" ht="15" hidden="1" customHeight="1" x14ac:dyDescent="0.25">
      <c r="A29" s="11"/>
      <c r="B29" s="35"/>
      <c r="C29" s="36"/>
    </row>
    <row r="30" spans="1:3" ht="15" hidden="1" customHeight="1" x14ac:dyDescent="0.25">
      <c r="A30" s="11"/>
      <c r="B30" s="35"/>
      <c r="C30" s="36"/>
    </row>
    <row r="31" spans="1:3" ht="17.25" hidden="1" customHeight="1" x14ac:dyDescent="0.25">
      <c r="A31" s="14"/>
      <c r="B31" s="35"/>
      <c r="C31" s="36"/>
    </row>
    <row r="32" spans="1:3" ht="18.75" hidden="1" customHeight="1" x14ac:dyDescent="0.25">
      <c r="A32" s="14"/>
      <c r="B32" s="35"/>
      <c r="C32" s="36"/>
    </row>
    <row r="33" spans="1:3" ht="36" hidden="1" customHeight="1" x14ac:dyDescent="0.25">
      <c r="A33" s="14"/>
      <c r="B33" s="35"/>
      <c r="C33" s="36"/>
    </row>
  </sheetData>
  <mergeCells count="7">
    <mergeCell ref="D8:D1048576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68"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Calendario de inspeção 2023</vt:lpstr>
      <vt:lpstr>Relatorio ROP</vt:lpstr>
      <vt:lpstr>FechaInicio</vt:lpstr>
    </vt:vector>
  </TitlesOfParts>
  <Company>Subsea7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Fabio.Natividade@Subsea7.com</dc:creator>
  <cp:lastModifiedBy>Lauro Cerqueira</cp:lastModifiedBy>
  <cp:lastPrinted>2023-05-19T13:42:39Z</cp:lastPrinted>
  <dcterms:created xsi:type="dcterms:W3CDTF">2021-10-05T17:45:21Z</dcterms:created>
  <dcterms:modified xsi:type="dcterms:W3CDTF">2023-05-24T13:55:19Z</dcterms:modified>
</cp:coreProperties>
</file>